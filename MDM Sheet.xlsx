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 PATIL\OneDrive\Desktop\School\"/>
    </mc:Choice>
  </mc:AlternateContent>
  <xr:revisionPtr revIDLastSave="0" documentId="13_ncr:1_{6D324622-5ADB-4B46-9242-D23F18AC21C3}" xr6:coauthVersionLast="47" xr6:coauthVersionMax="47" xr10:uidLastSave="{00000000-0000-0000-0000-000000000000}"/>
  <bookViews>
    <workbookView xWindow="-108" yWindow="-108" windowWidth="23256" windowHeight="12456" xr2:uid="{7D77A183-9794-48F3-8C6D-073020F406C4}"/>
  </bookViews>
  <sheets>
    <sheet name="Sheet1" sheetId="1" r:id="rId1"/>
    <sheet name="Sheet2" sheetId="5" r:id="rId2"/>
    <sheet name="Sheet4" sheetId="4" r:id="rId3"/>
  </sheets>
  <definedNames>
    <definedName name="Date_dropdown">Date_list[#Headers]</definedName>
    <definedName name="Date_dropdown2">Date_list2[Month]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Q4" i="1" s="1"/>
  <c r="H4" i="1"/>
  <c r="K4" i="1"/>
  <c r="N4" i="1"/>
  <c r="O4" i="1"/>
  <c r="P4" i="1"/>
  <c r="E5" i="1"/>
  <c r="H5" i="1"/>
  <c r="K5" i="1"/>
  <c r="N5" i="1"/>
  <c r="O5" i="1"/>
  <c r="P5" i="1"/>
  <c r="E6" i="1"/>
  <c r="Q6" i="1" s="1"/>
  <c r="H6" i="1"/>
  <c r="K6" i="1"/>
  <c r="N6" i="1"/>
  <c r="O6" i="1"/>
  <c r="P6" i="1"/>
  <c r="E7" i="1"/>
  <c r="H7" i="1"/>
  <c r="K7" i="1"/>
  <c r="N7" i="1"/>
  <c r="O7" i="1"/>
  <c r="P7" i="1"/>
  <c r="E8" i="1"/>
  <c r="H8" i="1"/>
  <c r="K8" i="1"/>
  <c r="N8" i="1"/>
  <c r="N35" i="1" s="1"/>
  <c r="O8" i="1"/>
  <c r="P8" i="1"/>
  <c r="E9" i="1"/>
  <c r="H9" i="1"/>
  <c r="K9" i="1"/>
  <c r="N9" i="1"/>
  <c r="O9" i="1"/>
  <c r="P9" i="1"/>
  <c r="E10" i="1"/>
  <c r="Q10" i="1" s="1"/>
  <c r="H10" i="1"/>
  <c r="K10" i="1"/>
  <c r="N10" i="1"/>
  <c r="O10" i="1"/>
  <c r="P10" i="1"/>
  <c r="D35" i="1"/>
  <c r="F35" i="1"/>
  <c r="G35" i="1"/>
  <c r="I35" i="1"/>
  <c r="J35" i="1"/>
  <c r="L35" i="1"/>
  <c r="M35" i="1"/>
  <c r="C35" i="1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B14" i="5"/>
  <c r="B13" i="5"/>
  <c r="B12" i="5"/>
  <c r="B11" i="5"/>
  <c r="B10" i="5"/>
  <c r="B9" i="5"/>
  <c r="B8" i="5"/>
  <c r="B7" i="5"/>
  <c r="B6" i="5"/>
  <c r="C5" i="5"/>
  <c r="D5" i="5"/>
  <c r="E5" i="5"/>
  <c r="F5" i="5"/>
  <c r="G5" i="5"/>
  <c r="H5" i="5"/>
  <c r="I5" i="5"/>
  <c r="J5" i="5"/>
  <c r="B12" i="1" s="1"/>
  <c r="K5" i="5"/>
  <c r="L5" i="5"/>
  <c r="M5" i="5"/>
  <c r="N5" i="5"/>
  <c r="O5" i="5"/>
  <c r="P5" i="5"/>
  <c r="Q5" i="5"/>
  <c r="R5" i="5"/>
  <c r="B20" i="1" s="1"/>
  <c r="S5" i="5"/>
  <c r="T5" i="5"/>
  <c r="U5" i="5"/>
  <c r="V5" i="5"/>
  <c r="W5" i="5"/>
  <c r="X5" i="5"/>
  <c r="Y5" i="5"/>
  <c r="Z5" i="5"/>
  <c r="B28" i="1" s="1"/>
  <c r="AA5" i="5"/>
  <c r="AB5" i="5"/>
  <c r="AC5" i="5"/>
  <c r="AD5" i="5"/>
  <c r="AE5" i="5"/>
  <c r="AF5" i="5"/>
  <c r="B5" i="5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E30" i="1"/>
  <c r="H30" i="1"/>
  <c r="K30" i="1"/>
  <c r="E31" i="1"/>
  <c r="H31" i="1"/>
  <c r="K31" i="1"/>
  <c r="E32" i="1"/>
  <c r="H32" i="1"/>
  <c r="K32" i="1"/>
  <c r="E33" i="1"/>
  <c r="H33" i="1"/>
  <c r="K33" i="1"/>
  <c r="E34" i="1"/>
  <c r="H34" i="1"/>
  <c r="K34" i="1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C4" i="5"/>
  <c r="D4" i="5"/>
  <c r="E4" i="5"/>
  <c r="F4" i="5"/>
  <c r="G4" i="5"/>
  <c r="H4" i="5"/>
  <c r="B4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B3" i="5"/>
  <c r="B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A2" i="4"/>
  <c r="B2" i="4"/>
  <c r="C2" i="4"/>
  <c r="D2" i="4"/>
  <c r="E2" i="4"/>
  <c r="F2" i="4"/>
  <c r="G2" i="4"/>
  <c r="H2" i="4"/>
  <c r="I2" i="4"/>
  <c r="J2" i="4"/>
  <c r="K2" i="4"/>
  <c r="L2" i="4"/>
  <c r="A3" i="4"/>
  <c r="B3" i="4"/>
  <c r="C3" i="4"/>
  <c r="D3" i="4"/>
  <c r="E3" i="4"/>
  <c r="F3" i="4"/>
  <c r="G3" i="4"/>
  <c r="H3" i="4"/>
  <c r="I3" i="4"/>
  <c r="J3" i="4"/>
  <c r="K3" i="4"/>
  <c r="L3" i="4"/>
  <c r="A4" i="4"/>
  <c r="B4" i="4"/>
  <c r="C4" i="4"/>
  <c r="D4" i="4"/>
  <c r="E4" i="4"/>
  <c r="F4" i="4"/>
  <c r="G4" i="4"/>
  <c r="H4" i="4"/>
  <c r="I4" i="4"/>
  <c r="J4" i="4"/>
  <c r="K4" i="4"/>
  <c r="L4" i="4"/>
  <c r="A5" i="4"/>
  <c r="B5" i="4"/>
  <c r="C5" i="4"/>
  <c r="D5" i="4"/>
  <c r="E5" i="4"/>
  <c r="F5" i="4"/>
  <c r="G5" i="4"/>
  <c r="H5" i="4"/>
  <c r="I5" i="4"/>
  <c r="J5" i="4"/>
  <c r="K5" i="4"/>
  <c r="L5" i="4"/>
  <c r="A6" i="4"/>
  <c r="B6" i="4"/>
  <c r="C6" i="4"/>
  <c r="D6" i="4"/>
  <c r="E6" i="4"/>
  <c r="F6" i="4"/>
  <c r="G6" i="4"/>
  <c r="H6" i="4"/>
  <c r="I6" i="4"/>
  <c r="J6" i="4"/>
  <c r="K6" i="4"/>
  <c r="L6" i="4"/>
  <c r="A7" i="4"/>
  <c r="B7" i="4"/>
  <c r="C7" i="4"/>
  <c r="D7" i="4"/>
  <c r="E7" i="4"/>
  <c r="F7" i="4"/>
  <c r="G7" i="4"/>
  <c r="H7" i="4"/>
  <c r="I7" i="4"/>
  <c r="J7" i="4"/>
  <c r="K7" i="4"/>
  <c r="L7" i="4"/>
  <c r="A8" i="4"/>
  <c r="B8" i="4"/>
  <c r="C8" i="4"/>
  <c r="D8" i="4"/>
  <c r="E8" i="4"/>
  <c r="F8" i="4"/>
  <c r="G8" i="4"/>
  <c r="H8" i="4"/>
  <c r="I8" i="4"/>
  <c r="J8" i="4"/>
  <c r="K8" i="4"/>
  <c r="L8" i="4"/>
  <c r="A9" i="4"/>
  <c r="B9" i="4"/>
  <c r="C9" i="4"/>
  <c r="D9" i="4"/>
  <c r="E9" i="4"/>
  <c r="F9" i="4"/>
  <c r="G9" i="4"/>
  <c r="H9" i="4"/>
  <c r="I9" i="4"/>
  <c r="J9" i="4"/>
  <c r="K9" i="4"/>
  <c r="L9" i="4"/>
  <c r="A10" i="4"/>
  <c r="B10" i="4"/>
  <c r="C10" i="4"/>
  <c r="D10" i="4"/>
  <c r="E10" i="4"/>
  <c r="F10" i="4"/>
  <c r="G10" i="4"/>
  <c r="H10" i="4"/>
  <c r="I10" i="4"/>
  <c r="J10" i="4"/>
  <c r="K10" i="4"/>
  <c r="L10" i="4"/>
  <c r="A11" i="4"/>
  <c r="B11" i="4"/>
  <c r="C11" i="4"/>
  <c r="D11" i="4"/>
  <c r="E11" i="4"/>
  <c r="F11" i="4"/>
  <c r="G11" i="4"/>
  <c r="H11" i="4"/>
  <c r="I11" i="4"/>
  <c r="J11" i="4"/>
  <c r="K11" i="4"/>
  <c r="L11" i="4"/>
  <c r="A12" i="4"/>
  <c r="B12" i="4"/>
  <c r="C12" i="4"/>
  <c r="D12" i="4"/>
  <c r="E12" i="4"/>
  <c r="F12" i="4"/>
  <c r="G12" i="4"/>
  <c r="H12" i="4"/>
  <c r="I12" i="4"/>
  <c r="J12" i="4"/>
  <c r="K12" i="4"/>
  <c r="L12" i="4"/>
  <c r="A13" i="4"/>
  <c r="B13" i="4"/>
  <c r="C13" i="4"/>
  <c r="D13" i="4"/>
  <c r="E13" i="4"/>
  <c r="F13" i="4"/>
  <c r="G13" i="4"/>
  <c r="H13" i="4"/>
  <c r="I13" i="4"/>
  <c r="J13" i="4"/>
  <c r="K13" i="4"/>
  <c r="L13" i="4"/>
  <c r="A14" i="4"/>
  <c r="B14" i="4"/>
  <c r="C14" i="4"/>
  <c r="D14" i="4"/>
  <c r="E14" i="4"/>
  <c r="F14" i="4"/>
  <c r="G14" i="4"/>
  <c r="H14" i="4"/>
  <c r="I14" i="4"/>
  <c r="J14" i="4"/>
  <c r="K14" i="4"/>
  <c r="L14" i="4"/>
  <c r="A15" i="4"/>
  <c r="B15" i="4"/>
  <c r="C15" i="4"/>
  <c r="D15" i="4"/>
  <c r="E15" i="4"/>
  <c r="F15" i="4"/>
  <c r="G15" i="4"/>
  <c r="H15" i="4"/>
  <c r="I15" i="4"/>
  <c r="J15" i="4"/>
  <c r="K15" i="4"/>
  <c r="L15" i="4"/>
  <c r="A16" i="4"/>
  <c r="B16" i="4"/>
  <c r="C16" i="4"/>
  <c r="D16" i="4"/>
  <c r="E16" i="4"/>
  <c r="F16" i="4"/>
  <c r="G16" i="4"/>
  <c r="H16" i="4"/>
  <c r="I16" i="4"/>
  <c r="J16" i="4"/>
  <c r="K16" i="4"/>
  <c r="L16" i="4"/>
  <c r="A17" i="4"/>
  <c r="B17" i="4"/>
  <c r="C17" i="4"/>
  <c r="D17" i="4"/>
  <c r="E17" i="4"/>
  <c r="F17" i="4"/>
  <c r="G17" i="4"/>
  <c r="H17" i="4"/>
  <c r="I17" i="4"/>
  <c r="J17" i="4"/>
  <c r="K17" i="4"/>
  <c r="L17" i="4"/>
  <c r="A18" i="4"/>
  <c r="B18" i="4"/>
  <c r="C18" i="4"/>
  <c r="D18" i="4"/>
  <c r="E18" i="4"/>
  <c r="F18" i="4"/>
  <c r="G18" i="4"/>
  <c r="H18" i="4"/>
  <c r="I18" i="4"/>
  <c r="J18" i="4"/>
  <c r="K18" i="4"/>
  <c r="L18" i="4"/>
  <c r="A19" i="4"/>
  <c r="B19" i="4"/>
  <c r="C19" i="4"/>
  <c r="D19" i="4"/>
  <c r="E19" i="4"/>
  <c r="F19" i="4"/>
  <c r="G19" i="4"/>
  <c r="H19" i="4"/>
  <c r="I19" i="4"/>
  <c r="J19" i="4"/>
  <c r="K19" i="4"/>
  <c r="L19" i="4"/>
  <c r="A20" i="4"/>
  <c r="B20" i="4"/>
  <c r="C20" i="4"/>
  <c r="D20" i="4"/>
  <c r="E20" i="4"/>
  <c r="F20" i="4"/>
  <c r="G20" i="4"/>
  <c r="H20" i="4"/>
  <c r="I20" i="4"/>
  <c r="J20" i="4"/>
  <c r="K20" i="4"/>
  <c r="L20" i="4"/>
  <c r="A21" i="4"/>
  <c r="B21" i="4"/>
  <c r="C21" i="4"/>
  <c r="D21" i="4"/>
  <c r="E21" i="4"/>
  <c r="F21" i="4"/>
  <c r="G21" i="4"/>
  <c r="H21" i="4"/>
  <c r="I21" i="4"/>
  <c r="J21" i="4"/>
  <c r="K21" i="4"/>
  <c r="L21" i="4"/>
  <c r="A22" i="4"/>
  <c r="B22" i="4"/>
  <c r="C22" i="4"/>
  <c r="D22" i="4"/>
  <c r="E22" i="4"/>
  <c r="F22" i="4"/>
  <c r="G22" i="4"/>
  <c r="H22" i="4"/>
  <c r="I22" i="4"/>
  <c r="J22" i="4"/>
  <c r="K22" i="4"/>
  <c r="L22" i="4"/>
  <c r="A23" i="4"/>
  <c r="B23" i="4"/>
  <c r="C23" i="4"/>
  <c r="D23" i="4"/>
  <c r="E23" i="4"/>
  <c r="F23" i="4"/>
  <c r="G23" i="4"/>
  <c r="H23" i="4"/>
  <c r="I23" i="4"/>
  <c r="J23" i="4"/>
  <c r="K23" i="4"/>
  <c r="L23" i="4"/>
  <c r="A24" i="4"/>
  <c r="B24" i="4"/>
  <c r="C24" i="4"/>
  <c r="D24" i="4"/>
  <c r="E24" i="4"/>
  <c r="F24" i="4"/>
  <c r="G24" i="4"/>
  <c r="H24" i="4"/>
  <c r="I24" i="4"/>
  <c r="J24" i="4"/>
  <c r="K24" i="4"/>
  <c r="L24" i="4"/>
  <c r="A25" i="4"/>
  <c r="B25" i="4"/>
  <c r="C25" i="4"/>
  <c r="D25" i="4"/>
  <c r="E25" i="4"/>
  <c r="F25" i="4"/>
  <c r="G25" i="4"/>
  <c r="H25" i="4"/>
  <c r="I25" i="4"/>
  <c r="J25" i="4"/>
  <c r="K25" i="4"/>
  <c r="L25" i="4"/>
  <c r="A26" i="4"/>
  <c r="B26" i="4"/>
  <c r="C26" i="4"/>
  <c r="D26" i="4"/>
  <c r="E26" i="4"/>
  <c r="F26" i="4"/>
  <c r="G26" i="4"/>
  <c r="H26" i="4"/>
  <c r="I26" i="4"/>
  <c r="J26" i="4"/>
  <c r="K26" i="4"/>
  <c r="L26" i="4"/>
  <c r="A27" i="4"/>
  <c r="B27" i="4"/>
  <c r="C27" i="4"/>
  <c r="D27" i="4"/>
  <c r="E27" i="4"/>
  <c r="F27" i="4"/>
  <c r="G27" i="4"/>
  <c r="H27" i="4"/>
  <c r="I27" i="4"/>
  <c r="J27" i="4"/>
  <c r="K27" i="4"/>
  <c r="L27" i="4"/>
  <c r="A28" i="4"/>
  <c r="B28" i="4"/>
  <c r="C28" i="4"/>
  <c r="D28" i="4"/>
  <c r="E28" i="4"/>
  <c r="F28" i="4"/>
  <c r="G28" i="4"/>
  <c r="H28" i="4"/>
  <c r="I28" i="4"/>
  <c r="J28" i="4"/>
  <c r="K28" i="4"/>
  <c r="L28" i="4"/>
  <c r="A29" i="4"/>
  <c r="B29" i="4"/>
  <c r="C29" i="4"/>
  <c r="D29" i="4"/>
  <c r="E29" i="4"/>
  <c r="F29" i="4"/>
  <c r="G29" i="4"/>
  <c r="H29" i="4"/>
  <c r="I29" i="4"/>
  <c r="J29" i="4"/>
  <c r="K29" i="4"/>
  <c r="L29" i="4"/>
  <c r="A30" i="4"/>
  <c r="B30" i="4"/>
  <c r="C30" i="4"/>
  <c r="D30" i="4"/>
  <c r="E30" i="4"/>
  <c r="F30" i="4"/>
  <c r="G30" i="4"/>
  <c r="H30" i="4"/>
  <c r="I30" i="4"/>
  <c r="J30" i="4"/>
  <c r="K30" i="4"/>
  <c r="L30" i="4"/>
  <c r="A31" i="4"/>
  <c r="B31" i="4"/>
  <c r="C31" i="4"/>
  <c r="D31" i="4"/>
  <c r="E31" i="4"/>
  <c r="F31" i="4"/>
  <c r="G31" i="4"/>
  <c r="H31" i="4"/>
  <c r="I31" i="4"/>
  <c r="J31" i="4"/>
  <c r="K31" i="4"/>
  <c r="L31" i="4"/>
  <c r="A32" i="4"/>
  <c r="B32" i="4"/>
  <c r="C32" i="4"/>
  <c r="D32" i="4"/>
  <c r="E32" i="4"/>
  <c r="F32" i="4"/>
  <c r="G32" i="4"/>
  <c r="H32" i="4"/>
  <c r="I32" i="4"/>
  <c r="J32" i="4"/>
  <c r="K32" i="4"/>
  <c r="L32" i="4"/>
  <c r="A33" i="4"/>
  <c r="A34" i="4"/>
  <c r="A35" i="4"/>
  <c r="A36" i="4"/>
  <c r="A37" i="4"/>
  <c r="A38" i="4"/>
  <c r="A39" i="4"/>
  <c r="E14" i="1"/>
  <c r="E13" i="1"/>
  <c r="Q13" i="1" s="1"/>
  <c r="E11" i="1"/>
  <c r="E12" i="1"/>
  <c r="E15" i="1"/>
  <c r="Q15" i="1" s="1"/>
  <c r="E16" i="1"/>
  <c r="E17" i="1"/>
  <c r="E18" i="1"/>
  <c r="E19" i="1"/>
  <c r="E20" i="1"/>
  <c r="E21" i="1"/>
  <c r="E22" i="1"/>
  <c r="E23" i="1"/>
  <c r="E24" i="1"/>
  <c r="E25" i="1"/>
  <c r="E26" i="1"/>
  <c r="Q26" i="1" s="1"/>
  <c r="E27" i="1"/>
  <c r="E28" i="1"/>
  <c r="E2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Q9" i="1" l="1"/>
  <c r="R9" i="1" s="1"/>
  <c r="Q5" i="1"/>
  <c r="Q7" i="1"/>
  <c r="Q8" i="1"/>
  <c r="R8" i="1" s="1"/>
  <c r="H35" i="1"/>
  <c r="K35" i="1"/>
  <c r="E35" i="1"/>
  <c r="P35" i="1"/>
  <c r="O35" i="1"/>
  <c r="R4" i="1"/>
  <c r="B19" i="1"/>
  <c r="B34" i="1"/>
  <c r="B18" i="1"/>
  <c r="B7" i="1"/>
  <c r="B31" i="1"/>
  <c r="B23" i="1"/>
  <c r="B15" i="1"/>
  <c r="B30" i="1"/>
  <c r="B22" i="1"/>
  <c r="B14" i="1"/>
  <c r="B6" i="1"/>
  <c r="B9" i="1"/>
  <c r="B25" i="1"/>
  <c r="B29" i="1"/>
  <c r="B21" i="1"/>
  <c r="B13" i="1"/>
  <c r="B5" i="1"/>
  <c r="B33" i="1"/>
  <c r="B17" i="1"/>
  <c r="B4" i="1"/>
  <c r="B27" i="1"/>
  <c r="B11" i="1"/>
  <c r="B26" i="1"/>
  <c r="B10" i="1"/>
  <c r="B32" i="1"/>
  <c r="B24" i="1"/>
  <c r="B16" i="1"/>
  <c r="B8" i="1"/>
  <c r="Q18" i="1"/>
  <c r="Q31" i="1"/>
  <c r="R31" i="1" s="1"/>
  <c r="Q23" i="1"/>
  <c r="R5" i="1"/>
  <c r="R10" i="1"/>
  <c r="Q14" i="1"/>
  <c r="R14" i="1" s="1"/>
  <c r="Q28" i="1"/>
  <c r="R28" i="1" s="1"/>
  <c r="Q27" i="1"/>
  <c r="Q20" i="1"/>
  <c r="Q19" i="1"/>
  <c r="Q25" i="1"/>
  <c r="R25" i="1" s="1"/>
  <c r="Q17" i="1"/>
  <c r="R17" i="1" s="1"/>
  <c r="Q24" i="1"/>
  <c r="R24" i="1" s="1"/>
  <c r="Q16" i="1"/>
  <c r="R16" i="1" s="1"/>
  <c r="Q33" i="1"/>
  <c r="Q32" i="1"/>
  <c r="R32" i="1" s="1"/>
  <c r="Q22" i="1"/>
  <c r="Q29" i="1"/>
  <c r="Q21" i="1"/>
  <c r="Q11" i="1"/>
  <c r="R11" i="1" s="1"/>
  <c r="Q30" i="1"/>
  <c r="R30" i="1" s="1"/>
  <c r="Q12" i="1"/>
  <c r="R12" i="1" s="1"/>
  <c r="Q34" i="1"/>
  <c r="R34" i="1" s="1"/>
  <c r="R23" i="1"/>
  <c r="R33" i="1"/>
  <c r="R22" i="1"/>
  <c r="R26" i="1"/>
  <c r="R18" i="1"/>
  <c r="R29" i="1"/>
  <c r="R21" i="1"/>
  <c r="R27" i="1"/>
  <c r="R19" i="1"/>
  <c r="R20" i="1"/>
  <c r="R15" i="1"/>
  <c r="R13" i="1"/>
  <c r="R7" i="1"/>
  <c r="R6" i="1"/>
  <c r="Q35" i="1" l="1"/>
  <c r="R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 PATIL</author>
  </authors>
  <commentList>
    <comment ref="B3" authorId="0" shapeId="0" xr:uid="{D1782D8D-9922-4A55-AB39-B442D941776C}">
      <text>
        <r>
          <rPr>
            <sz val="9"/>
            <color indexed="81"/>
            <rFont val="Tahoma"/>
            <family val="2"/>
          </rPr>
          <t xml:space="preserve">Click here For
Change Month
And Dates
</t>
        </r>
      </text>
    </comment>
  </commentList>
</comments>
</file>

<file path=xl/sharedStrings.xml><?xml version="1.0" encoding="utf-8"?>
<sst xmlns="http://schemas.openxmlformats.org/spreadsheetml/2006/main" count="84" uniqueCount="57">
  <si>
    <t>S.NO.</t>
  </si>
  <si>
    <t>Date</t>
  </si>
  <si>
    <t>ST</t>
  </si>
  <si>
    <t>SC</t>
  </si>
  <si>
    <t>OBC</t>
  </si>
  <si>
    <t>Boys</t>
  </si>
  <si>
    <t>Girls</t>
  </si>
  <si>
    <t>Total</t>
  </si>
  <si>
    <t>Grand Total</t>
  </si>
  <si>
    <t>Rice Consumption</t>
  </si>
  <si>
    <t>10.17g per student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</si>
  <si>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</si>
  <si>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</si>
  <si>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</si>
  <si>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</si>
  <si>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</si>
  <si>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</si>
  <si>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</si>
  <si>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</si>
  <si>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</si>
  <si>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</si>
  <si>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</si>
  <si>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</si>
  <si>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</t>
  </si>
  <si>
    <t>Date1</t>
  </si>
  <si>
    <t>Date2</t>
  </si>
  <si>
    <t>Date3</t>
  </si>
  <si>
    <t>Date4</t>
  </si>
  <si>
    <t>Date5</t>
  </si>
  <si>
    <t>Date6</t>
  </si>
  <si>
    <t>Date7</t>
  </si>
  <si>
    <t>Date8</t>
  </si>
  <si>
    <t>Date9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</si>
  <si>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</si>
  <si>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</si>
  <si>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</si>
  <si>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</si>
  <si>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</si>
  <si>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</si>
  <si>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</si>
  <si>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</si>
  <si>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</si>
  <si>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</si>
  <si>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</si>
  <si>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</si>
  <si>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</si>
  <si>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</si>
  <si>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</si>
  <si>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</si>
  <si>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</si>
  <si>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</si>
  <si>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</si>
  <si>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</si>
  <si>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</si>
  <si>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</si>
  <si>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General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</si>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</sst>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Arial Black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0" xfId="0" applyFill="1"/>
    <xf numFmtId="14" fontId="0" fillId="4" borderId="1" xfId="0" applyNumberFormat="1" applyFill="1" applyBorder="1"/>
    <xf numFmtId="14" fontId="0" fillId="4" borderId="3" xfId="0" applyNumberFormat="1" applyFill="1" applyBorder="1"/>
    <xf numFmtId="14" fontId="0" fillId="4" borderId="4" xfId="0" applyNumberFormat="1" applyFill="1" applyBorder="1"/>
    <xf numFmtId="14" fontId="0" fillId="4" borderId="5" xfId="0" applyNumberFormat="1" applyFill="1" applyBorder="1"/>
    <xf numFmtId="14" fontId="0" fillId="4" borderId="6" xfId="0" applyNumberFormat="1" applyFill="1" applyBorder="1"/>
    <xf numFmtId="14" fontId="0" fillId="4" borderId="7" xfId="0" applyNumberFormat="1" applyFill="1" applyBorder="1"/>
    <xf numFmtId="0" fontId="0" fillId="5" borderId="8" xfId="0" applyFill="1" applyBorder="1"/>
    <xf numFmtId="14" fontId="0" fillId="5" borderId="2" xfId="0" applyNumberFormat="1" applyFill="1" applyBorder="1"/>
    <xf numFmtId="0" fontId="0" fillId="5" borderId="2" xfId="0" applyFill="1" applyBorder="1"/>
    <xf numFmtId="14" fontId="0" fillId="5" borderId="9" xfId="0" applyNumberFormat="1" applyFill="1" applyBorder="1"/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4" fontId="1" fillId="4" borderId="12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</cellXfs>
  <cellStyles count="1">
    <cellStyle name="Normal" xfId="0" builtinId="0"/>
  </cellStyles>
  <dxfs count="53"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border outline="0">
        <top style="medium">
          <color indexed="64"/>
        </top>
      </border>
    </dxf>
    <dxf>
      <fill>
        <patternFill patternType="solid">
          <fgColor indexed="64"/>
          <bgColor theme="2" tint="-0.249977111117893"/>
        </patternFill>
      </fill>
    </dxf>
    <dxf>
      <border outline="0">
        <bottom style="thin">
          <color indexed="64"/>
        </bottom>
      </border>
    </dxf>
    <dxf>
      <numFmt numFmtId="19" formatCode="dd/mm/yy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u val="double"/>
        <color theme="4"/>
      </font>
    </dxf>
    <dxf>
      <font>
        <color rgb="FFFF0000"/>
      </font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0EA91C-97C7-4FE2-BC20-742D04E791C0}" name="Date_list2" displayName="Date_list2" ref="A1:AF14" totalsRowShown="0" headerRowDxfId="51" dataDxfId="50">
  <autoFilter ref="A1:AF14" xr:uid="{7C0EA91C-97C7-4FE2-BC20-742D04E791C0}"/>
  <tableColumns count="32">
    <tableColumn id="1" xr3:uid="{641CDD15-BCDA-4730-BD94-F321849856EF}" name="Month" dataDxfId="49"/>
    <tableColumn id="2" xr3:uid="{B901FC80-1D64-4587-8461-1C592C9DF0BF}" name="Date1" dataDxfId="48"/>
    <tableColumn id="3" xr3:uid="{92088302-CDA3-4EB8-83C0-4734528DD480}" name="Date2" dataDxfId="47"/>
    <tableColumn id="4" xr3:uid="{3632CF83-7546-4ECF-A3EC-B890EF028295}" name="Date3" dataDxfId="46"/>
    <tableColumn id="5" xr3:uid="{A4FF6822-4A3B-4C56-B933-EDC0C246EA3F}" name="Date4" dataDxfId="45"/>
    <tableColumn id="6" xr3:uid="{F7C99021-2881-4BD0-B774-0847F5A84767}" name="Date5" dataDxfId="44"/>
    <tableColumn id="7" xr3:uid="{7E2D9225-9714-411B-9FE1-5036A4665991}" name="Date6" dataDxfId="43"/>
    <tableColumn id="8" xr3:uid="{6516C938-082B-4E93-BA92-C86CE448C898}" name="Date7" dataDxfId="42"/>
    <tableColumn id="9" xr3:uid="{BCF76F38-F401-4736-A510-502FF35246FF}" name="Date8" dataDxfId="41"/>
    <tableColumn id="10" xr3:uid="{DA1D5A72-18B4-4FA5-8B0F-F6C1BF14360C}" name="Date9" dataDxfId="40"/>
    <tableColumn id="11" xr3:uid="{B456B1DA-11E3-44CB-93C8-74F58FA94429}" name="Date10" dataDxfId="39"/>
    <tableColumn id="12" xr3:uid="{EC1F460E-9F2F-4D36-BD4E-E49D8911EFBD}" name="Date11" dataDxfId="38"/>
    <tableColumn id="13" xr3:uid="{3AFC9542-FA99-4C51-9A83-CEDDD1E27F44}" name="Date12" dataDxfId="37"/>
    <tableColumn id="14" xr3:uid="{046733D4-980C-4730-A91D-C5EB8F601A49}" name="Date13" dataDxfId="36"/>
    <tableColumn id="15" xr3:uid="{7A4D8DF1-4C91-4496-B1F1-7CBABC0391FA}" name="Date14" dataDxfId="35"/>
    <tableColumn id="16" xr3:uid="{BD7CC086-EAAC-4520-97A8-7E677FA8533A}" name="Date15" dataDxfId="34"/>
    <tableColumn id="17" xr3:uid="{17D8D34E-7FE2-4215-9EE9-8A766ECE01C8}" name="Date16" dataDxfId="33"/>
    <tableColumn id="18" xr3:uid="{61BF4A6C-5472-4C65-80C4-31DC3B487132}" name="Date17" dataDxfId="32"/>
    <tableColumn id="19" xr3:uid="{731EE45C-A791-4547-8768-37C9F818787C}" name="Date18" dataDxfId="31"/>
    <tableColumn id="20" xr3:uid="{AFFEFDB8-DEAF-419D-95BE-FDA53844CD0A}" name="Date19" dataDxfId="30"/>
    <tableColumn id="21" xr3:uid="{DC56F2AA-931D-4F61-9AA4-563E069BFFDD}" name="Date20" dataDxfId="29"/>
    <tableColumn id="22" xr3:uid="{C7505413-701A-48EE-BB09-B171DBA0F01B}" name="Date21" dataDxfId="28"/>
    <tableColumn id="23" xr3:uid="{9CE1B212-70B6-477D-94F9-2B6738B12FA4}" name="Date22" dataDxfId="27"/>
    <tableColumn id="24" xr3:uid="{F1B68EC0-2AE4-45AA-AA22-E2A3379AF718}" name="Date23" dataDxfId="26"/>
    <tableColumn id="25" xr3:uid="{9E4ACB9B-FD0F-4C59-9A99-A46C9AA3C302}" name="Date24" dataDxfId="25"/>
    <tableColumn id="26" xr3:uid="{D13654A2-2D4B-4D57-886B-C697AA7F3834}" name="Date25" dataDxfId="24"/>
    <tableColumn id="27" xr3:uid="{7B6CDF89-2F18-4CDD-91C2-DBA656BE5670}" name="Date26" dataDxfId="23"/>
    <tableColumn id="28" xr3:uid="{CBE566ED-F86E-45D8-BB50-9470EC851032}" name="Date27" dataDxfId="22"/>
    <tableColumn id="29" xr3:uid="{E79CEF02-0A36-4841-B08A-68CCB43BE258}" name="Date28" dataDxfId="21"/>
    <tableColumn id="30" xr3:uid="{981D124B-762A-49BC-B063-31A833F41B4C}" name="Date29" dataDxfId="20"/>
    <tableColumn id="31" xr3:uid="{9F4903F2-DB19-4724-8805-C3F802854DA1}" name="Date30" dataDxfId="19"/>
    <tableColumn id="32" xr3:uid="{11F44B91-AB58-49AD-99E2-AE5EA51A57C7}" name="Date31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0BC648-E574-425F-B707-7948BE5473B2}" name="Date_list" displayName="Date_list" ref="A1:L39" totalsRowShown="0" headerRowDxfId="15" dataDxfId="13" headerRowBorderDxfId="14" tableBorderDxfId="12">
  <autoFilter ref="A1:L39" xr:uid="{5F0BC648-E574-425F-B707-7948BE5473B2}"/>
  <tableColumns count="12">
    <tableColumn id="1" xr3:uid="{E51EFB7E-45FB-4536-880C-596D8FD9A2FF}" name="January" dataDxfId="11">
      <calculatedColumnFormula>IF(ROW(A1)&lt;=DAY(EOMONTH(DATE(YEAR(TODAY()),MONTH(DATEVALUE("1-"&amp;$A$1)),1),0)),IF(WEEKDAY(DATE(YEAR(TODAY()),MONTH(DATEVALUE("1-"&amp;$A$1)),ROW(A1)),2)=7,"",DATE(YEAR(TODAY()),MONTH(DATEVALUE("1-"&amp;$A$1)),ROW(A1))),"")</calculatedColumnFormula>
    </tableColumn>
    <tableColumn id="2" xr3:uid="{1F53200E-334F-48A8-8A5F-339D5193BE96}" name="February" dataDxfId="10"/>
    <tableColumn id="3" xr3:uid="{3FB896C7-4DDE-4333-BC41-F19183A5B053}" name="March" dataDxfId="9"/>
    <tableColumn id="4" xr3:uid="{640DDF90-6933-4974-8CE6-C659898A46CF}" name="April" dataDxfId="8"/>
    <tableColumn id="5" xr3:uid="{4EB82788-81B8-4C17-9E76-A9400AA8B593}" name="May" dataDxfId="7"/>
    <tableColumn id="6" xr3:uid="{9FC909F0-1179-49C8-9F7D-F5818269616E}" name="June" dataDxfId="6"/>
    <tableColumn id="7" xr3:uid="{477A824C-79C5-4C58-9D5D-52B8B127F402}" name="July" dataDxfId="5"/>
    <tableColumn id="8" xr3:uid="{EC086B22-6A36-4AB5-B925-AA871099A798}" name="August" dataDxfId="4"/>
    <tableColumn id="9" xr3:uid="{A4AB9A6F-7DB5-4FD7-A625-FB9F77E5F0BB}" name="September" dataDxfId="3"/>
    <tableColumn id="10" xr3:uid="{65D47994-B977-44B2-AE12-143C4BA54C13}" name="October" dataDxfId="2"/>
    <tableColumn id="11" xr3:uid="{B9F5C006-F930-41BD-8C6A-E139390C9D40}" name="November" dataDxfId="1"/>
    <tableColumn id="12" xr3:uid="{867EDEC2-3084-4B9E-9473-132E8D665350}" name="Dece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0F87-3998-46C5-B03C-58EF6392AD98}">
  <dimension ref="A1:R36"/>
  <sheetViews>
    <sheetView tabSelected="1" zoomScaleNormal="100" workbookViewId="0">
      <selection activeCell="T23" sqref="T23"/>
    </sheetView>
  </sheetViews>
  <sheetFormatPr defaultRowHeight="14.4" x14ac:dyDescent="0.3"/>
  <cols>
    <col min="1" max="1" width="6" style="12" bestFit="1" customWidth="1"/>
    <col min="2" max="2" width="10.6640625" style="12" bestFit="1" customWidth="1"/>
    <col min="3" max="3" width="5.33203125" style="12" bestFit="1" customWidth="1"/>
    <col min="4" max="4" width="5.21875" style="12" bestFit="1" customWidth="1"/>
    <col min="5" max="5" width="5.77734375" style="12" bestFit="1" customWidth="1"/>
    <col min="6" max="6" width="5.33203125" style="12" bestFit="1" customWidth="1"/>
    <col min="7" max="7" width="5.21875" style="12" bestFit="1" customWidth="1"/>
    <col min="8" max="8" width="5.77734375" style="12" bestFit="1" customWidth="1"/>
    <col min="9" max="9" width="5.33203125" style="12" bestFit="1" customWidth="1"/>
    <col min="10" max="10" width="5.21875" style="12" bestFit="1" customWidth="1"/>
    <col min="11" max="11" width="5.77734375" style="12" bestFit="1" customWidth="1"/>
    <col min="12" max="12" width="5.33203125" style="12" bestFit="1" customWidth="1"/>
    <col min="13" max="13" width="5.21875" style="12" bestFit="1" customWidth="1"/>
    <col min="14" max="14" width="5.77734375" style="12" bestFit="1" customWidth="1"/>
    <col min="15" max="15" width="5.33203125" style="12" bestFit="1" customWidth="1"/>
    <col min="16" max="16" width="5.21875" style="12" bestFit="1" customWidth="1"/>
    <col min="17" max="17" width="5.77734375" style="12" bestFit="1" customWidth="1"/>
    <col min="18" max="18" width="18.109375" style="12" bestFit="1" customWidth="1"/>
    <col min="19" max="16384" width="8.88671875" style="12"/>
  </cols>
  <sheetData>
    <row r="1" spans="1:18" x14ac:dyDescent="0.3">
      <c r="A1" s="28" t="s">
        <v>56</v>
      </c>
      <c r="B1" s="29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.6" x14ac:dyDescent="0.3">
      <c r="A2" s="30" t="s">
        <v>0</v>
      </c>
      <c r="B2" s="31" t="s">
        <v>1</v>
      </c>
      <c r="C2" s="32" t="s">
        <v>2</v>
      </c>
      <c r="D2" s="32"/>
      <c r="E2" s="32"/>
      <c r="F2" s="32" t="s">
        <v>3</v>
      </c>
      <c r="G2" s="32"/>
      <c r="H2" s="32"/>
      <c r="I2" s="32" t="s">
        <v>4</v>
      </c>
      <c r="J2" s="32"/>
      <c r="K2" s="32"/>
      <c r="L2" s="32" t="s">
        <v>55</v>
      </c>
      <c r="M2" s="32"/>
      <c r="N2" s="32"/>
      <c r="O2" s="33" t="s">
        <v>8</v>
      </c>
      <c r="P2" s="33"/>
      <c r="Q2" s="33"/>
      <c r="R2" s="17" t="s">
        <v>10</v>
      </c>
    </row>
    <row r="3" spans="1:18" ht="15.6" x14ac:dyDescent="0.3">
      <c r="A3" s="30"/>
      <c r="B3" s="19" t="s">
        <v>17</v>
      </c>
      <c r="C3" s="13" t="s">
        <v>5</v>
      </c>
      <c r="D3" s="13" t="s">
        <v>6</v>
      </c>
      <c r="E3" s="14" t="s">
        <v>7</v>
      </c>
      <c r="F3" s="13" t="s">
        <v>5</v>
      </c>
      <c r="G3" s="13" t="s">
        <v>6</v>
      </c>
      <c r="H3" s="14" t="s">
        <v>7</v>
      </c>
      <c r="I3" s="13" t="s">
        <v>5</v>
      </c>
      <c r="J3" s="13" t="s">
        <v>6</v>
      </c>
      <c r="K3" s="14" t="s">
        <v>7</v>
      </c>
      <c r="L3" s="15" t="s">
        <v>5</v>
      </c>
      <c r="M3" s="13" t="s">
        <v>6</v>
      </c>
      <c r="N3" s="14" t="s">
        <v>7</v>
      </c>
      <c r="O3" s="13" t="s">
        <v>5</v>
      </c>
      <c r="P3" s="13" t="s">
        <v>6</v>
      </c>
      <c r="Q3" s="14" t="s">
        <v>7</v>
      </c>
      <c r="R3" s="18" t="s">
        <v>9</v>
      </c>
    </row>
    <row r="4" spans="1:18" ht="15.6" x14ac:dyDescent="0.3">
      <c r="A4" s="13">
        <v>1</v>
      </c>
      <c r="B4" s="16">
        <f ca="1">VLOOKUP($B$3,Date_list2[],ROW(A2),0)</f>
        <v>46174</v>
      </c>
      <c r="C4" s="13"/>
      <c r="D4" s="13"/>
      <c r="E4" s="14">
        <f>SUM(C4,D4)</f>
        <v>0</v>
      </c>
      <c r="F4" s="13"/>
      <c r="G4" s="13"/>
      <c r="H4" s="14">
        <f>SUM(F4,G4)</f>
        <v>0</v>
      </c>
      <c r="I4" s="13"/>
      <c r="J4" s="13"/>
      <c r="K4" s="14">
        <f>SUM(I4,J4)</f>
        <v>0</v>
      </c>
      <c r="L4" s="13"/>
      <c r="M4" s="13"/>
      <c r="N4" s="14">
        <f>SUM(L4,M4)</f>
        <v>0</v>
      </c>
      <c r="O4" s="13">
        <f>SUM(C4,F4,I4,L4)</f>
        <v>0</v>
      </c>
      <c r="P4" s="13">
        <f>SUM(D4,G4,J4,M4)</f>
        <v>0</v>
      </c>
      <c r="Q4" s="14">
        <f>SUM(E4,H4,K4,N4,)</f>
        <v>0</v>
      </c>
      <c r="R4" s="13">
        <f>SUM(Q4*10.17/100)</f>
        <v>0</v>
      </c>
    </row>
    <row r="5" spans="1:18" ht="15.6" x14ac:dyDescent="0.3">
      <c r="A5" s="13">
        <v>2</v>
      </c>
      <c r="B5" s="16">
        <f ca="1">VLOOKUP($B$3,Date_list2[],ROW(A3),0)</f>
        <v>46175</v>
      </c>
      <c r="C5" s="13"/>
      <c r="D5" s="13"/>
      <c r="E5" s="14">
        <f>SUM(C5,D5)</f>
        <v>0</v>
      </c>
      <c r="F5" s="13"/>
      <c r="G5" s="13"/>
      <c r="H5" s="14">
        <f t="shared" ref="H5:H10" si="0">SUM(F5,G5)</f>
        <v>0</v>
      </c>
      <c r="I5" s="13"/>
      <c r="J5" s="13"/>
      <c r="K5" s="14">
        <f t="shared" ref="K5:K10" si="1">SUM(I5,J5)</f>
        <v>0</v>
      </c>
      <c r="L5" s="13"/>
      <c r="M5" s="13"/>
      <c r="N5" s="14">
        <f t="shared" ref="N5:N10" si="2">SUM(L5,M5)</f>
        <v>0</v>
      </c>
      <c r="O5" s="13">
        <f t="shared" ref="O5:O10" si="3">SUM(C5,F5,I5,L5)</f>
        <v>0</v>
      </c>
      <c r="P5" s="13">
        <f t="shared" ref="P5:P10" si="4">SUM(D5,G5,J5,M5)</f>
        <v>0</v>
      </c>
      <c r="Q5" s="14">
        <f t="shared" ref="Q5:Q10" si="5">SUM(E5,H5,K5,N5,)</f>
        <v>0</v>
      </c>
      <c r="R5" s="13">
        <f t="shared" ref="R5:R29" si="6">SUM(Q5*10.17/100)</f>
        <v>0</v>
      </c>
    </row>
    <row r="6" spans="1:18" ht="15.6" x14ac:dyDescent="0.3">
      <c r="A6" s="13">
        <v>3</v>
      </c>
      <c r="B6" s="16">
        <f ca="1">VLOOKUP($B$3,Date_list2[],ROW(A4),0)</f>
        <v>46176</v>
      </c>
      <c r="C6" s="13"/>
      <c r="D6" s="13"/>
      <c r="E6" s="14">
        <f t="shared" ref="E6:E29" si="7">SUM(C6,D6)</f>
        <v>0</v>
      </c>
      <c r="F6" s="13"/>
      <c r="G6" s="13"/>
      <c r="H6" s="14">
        <f t="shared" si="0"/>
        <v>0</v>
      </c>
      <c r="I6" s="13"/>
      <c r="J6" s="13"/>
      <c r="K6" s="14">
        <f t="shared" si="1"/>
        <v>0</v>
      </c>
      <c r="L6" s="13"/>
      <c r="M6" s="13"/>
      <c r="N6" s="14">
        <f t="shared" si="2"/>
        <v>0</v>
      </c>
      <c r="O6" s="13">
        <f t="shared" si="3"/>
        <v>0</v>
      </c>
      <c r="P6" s="13">
        <f t="shared" si="4"/>
        <v>0</v>
      </c>
      <c r="Q6" s="14">
        <f t="shared" si="5"/>
        <v>0</v>
      </c>
      <c r="R6" s="13">
        <f t="shared" si="6"/>
        <v>0</v>
      </c>
    </row>
    <row r="7" spans="1:18" ht="15.6" x14ac:dyDescent="0.3">
      <c r="A7" s="13">
        <v>4</v>
      </c>
      <c r="B7" s="16">
        <f ca="1">VLOOKUP($B$3,Date_list2[],ROW(A5),0)</f>
        <v>46177</v>
      </c>
      <c r="C7" s="13"/>
      <c r="D7" s="13"/>
      <c r="E7" s="14">
        <f t="shared" si="7"/>
        <v>0</v>
      </c>
      <c r="F7" s="13"/>
      <c r="G7" s="13"/>
      <c r="H7" s="14">
        <f t="shared" si="0"/>
        <v>0</v>
      </c>
      <c r="I7" s="13"/>
      <c r="J7" s="13"/>
      <c r="K7" s="14">
        <f t="shared" si="1"/>
        <v>0</v>
      </c>
      <c r="L7" s="13"/>
      <c r="M7" s="13"/>
      <c r="N7" s="14">
        <f t="shared" si="2"/>
        <v>0</v>
      </c>
      <c r="O7" s="13">
        <f t="shared" si="3"/>
        <v>0</v>
      </c>
      <c r="P7" s="13">
        <f t="shared" si="4"/>
        <v>0</v>
      </c>
      <c r="Q7" s="14">
        <f t="shared" si="5"/>
        <v>0</v>
      </c>
      <c r="R7" s="13">
        <f t="shared" si="6"/>
        <v>0</v>
      </c>
    </row>
    <row r="8" spans="1:18" ht="15.6" x14ac:dyDescent="0.3">
      <c r="A8" s="13">
        <v>5</v>
      </c>
      <c r="B8" s="16">
        <f ca="1">VLOOKUP($B$3,Date_list2[],ROW(A6),0)</f>
        <v>46178</v>
      </c>
      <c r="C8" s="13"/>
      <c r="D8" s="13"/>
      <c r="E8" s="14">
        <f t="shared" si="7"/>
        <v>0</v>
      </c>
      <c r="F8" s="13"/>
      <c r="G8" s="13"/>
      <c r="H8" s="14">
        <f t="shared" si="0"/>
        <v>0</v>
      </c>
      <c r="I8" s="13"/>
      <c r="J8" s="13"/>
      <c r="K8" s="14">
        <f t="shared" si="1"/>
        <v>0</v>
      </c>
      <c r="L8" s="13"/>
      <c r="M8" s="13"/>
      <c r="N8" s="14">
        <f t="shared" si="2"/>
        <v>0</v>
      </c>
      <c r="O8" s="13">
        <f t="shared" si="3"/>
        <v>0</v>
      </c>
      <c r="P8" s="13">
        <f t="shared" si="4"/>
        <v>0</v>
      </c>
      <c r="Q8" s="14">
        <f t="shared" si="5"/>
        <v>0</v>
      </c>
      <c r="R8" s="13">
        <f t="shared" si="6"/>
        <v>0</v>
      </c>
    </row>
    <row r="9" spans="1:18" ht="15.6" x14ac:dyDescent="0.3">
      <c r="A9" s="13">
        <v>6</v>
      </c>
      <c r="B9" s="16">
        <f ca="1">VLOOKUP($B$3,Date_list2[],ROW(A7),0)</f>
        <v>46179</v>
      </c>
      <c r="C9" s="13"/>
      <c r="D9" s="13"/>
      <c r="E9" s="14">
        <f t="shared" si="7"/>
        <v>0</v>
      </c>
      <c r="F9" s="13"/>
      <c r="G9" s="13"/>
      <c r="H9" s="14">
        <f t="shared" si="0"/>
        <v>0</v>
      </c>
      <c r="I9" s="13"/>
      <c r="J9" s="13"/>
      <c r="K9" s="14">
        <f t="shared" si="1"/>
        <v>0</v>
      </c>
      <c r="L9" s="13"/>
      <c r="M9" s="13"/>
      <c r="N9" s="14">
        <f t="shared" si="2"/>
        <v>0</v>
      </c>
      <c r="O9" s="13">
        <f t="shared" si="3"/>
        <v>0</v>
      </c>
      <c r="P9" s="13">
        <f t="shared" si="4"/>
        <v>0</v>
      </c>
      <c r="Q9" s="14">
        <f t="shared" si="5"/>
        <v>0</v>
      </c>
      <c r="R9" s="13">
        <f t="shared" si="6"/>
        <v>0</v>
      </c>
    </row>
    <row r="10" spans="1:18" ht="15.6" x14ac:dyDescent="0.3">
      <c r="A10" s="13">
        <v>7</v>
      </c>
      <c r="B10" s="16" t="str">
        <f ca="1">VLOOKUP($B$3,Date_list2[],ROW(A8),0)</f>
        <v>SUNDAY</v>
      </c>
      <c r="C10" s="13"/>
      <c r="D10" s="13"/>
      <c r="E10" s="14">
        <f t="shared" si="7"/>
        <v>0</v>
      </c>
      <c r="F10" s="13"/>
      <c r="G10" s="13"/>
      <c r="H10" s="14">
        <f t="shared" si="0"/>
        <v>0</v>
      </c>
      <c r="I10" s="13"/>
      <c r="J10" s="13"/>
      <c r="K10" s="14">
        <f t="shared" si="1"/>
        <v>0</v>
      </c>
      <c r="L10" s="13"/>
      <c r="M10" s="13"/>
      <c r="N10" s="14">
        <f t="shared" si="2"/>
        <v>0</v>
      </c>
      <c r="O10" s="13">
        <f t="shared" si="3"/>
        <v>0</v>
      </c>
      <c r="P10" s="13">
        <f t="shared" si="4"/>
        <v>0</v>
      </c>
      <c r="Q10" s="14">
        <f t="shared" si="5"/>
        <v>0</v>
      </c>
      <c r="R10" s="13">
        <f t="shared" si="6"/>
        <v>0</v>
      </c>
    </row>
    <row r="11" spans="1:18" ht="15.6" x14ac:dyDescent="0.3">
      <c r="A11" s="13">
        <v>8</v>
      </c>
      <c r="B11" s="16">
        <f ca="1">VLOOKUP($B$3,Date_list2[],ROW(A9),0)</f>
        <v>46181</v>
      </c>
      <c r="C11" s="13"/>
      <c r="D11" s="13"/>
      <c r="E11" s="14">
        <f t="shared" si="7"/>
        <v>0</v>
      </c>
      <c r="F11" s="13"/>
      <c r="G11" s="13"/>
      <c r="H11" s="14">
        <f t="shared" ref="H6:H29" si="8">SUM(F11,G11)</f>
        <v>0</v>
      </c>
      <c r="I11" s="13"/>
      <c r="J11" s="13"/>
      <c r="K11" s="14">
        <f t="shared" ref="K6:K29" si="9">SUM(I11,J11)</f>
        <v>0</v>
      </c>
      <c r="L11" s="13"/>
      <c r="M11" s="13"/>
      <c r="N11" s="14">
        <f t="shared" ref="N5:N34" si="10">SUM(L11,M11)</f>
        <v>0</v>
      </c>
      <c r="O11" s="13">
        <f t="shared" ref="O5:O34" si="11">SUM(C11,F11,I11,L11)</f>
        <v>0</v>
      </c>
      <c r="P11" s="13">
        <f t="shared" ref="P5:P34" si="12">SUM(D11,G11,J11,M11)</f>
        <v>0</v>
      </c>
      <c r="Q11" s="14">
        <f t="shared" ref="Q5:Q34" si="13">SUM(E11,H11,K11,N11,)</f>
        <v>0</v>
      </c>
      <c r="R11" s="13">
        <f t="shared" si="6"/>
        <v>0</v>
      </c>
    </row>
    <row r="12" spans="1:18" ht="15.6" x14ac:dyDescent="0.3">
      <c r="A12" s="13">
        <v>9</v>
      </c>
      <c r="B12" s="16">
        <f ca="1">VLOOKUP($B$3,Date_list2[],ROW(A10),0)</f>
        <v>46182</v>
      </c>
      <c r="C12" s="13"/>
      <c r="D12" s="13"/>
      <c r="E12" s="14">
        <f t="shared" si="7"/>
        <v>0</v>
      </c>
      <c r="F12" s="13"/>
      <c r="G12" s="13"/>
      <c r="H12" s="14">
        <f t="shared" si="8"/>
        <v>0</v>
      </c>
      <c r="I12" s="13"/>
      <c r="J12" s="13"/>
      <c r="K12" s="14">
        <f t="shared" si="9"/>
        <v>0</v>
      </c>
      <c r="L12" s="13"/>
      <c r="M12" s="13"/>
      <c r="N12" s="14">
        <f t="shared" si="10"/>
        <v>0</v>
      </c>
      <c r="O12" s="13">
        <f t="shared" si="11"/>
        <v>0</v>
      </c>
      <c r="P12" s="13">
        <f t="shared" si="12"/>
        <v>0</v>
      </c>
      <c r="Q12" s="14">
        <f t="shared" si="13"/>
        <v>0</v>
      </c>
      <c r="R12" s="13">
        <f t="shared" si="6"/>
        <v>0</v>
      </c>
    </row>
    <row r="13" spans="1:18" ht="15.6" x14ac:dyDescent="0.3">
      <c r="A13" s="13">
        <v>10</v>
      </c>
      <c r="B13" s="16">
        <f ca="1">VLOOKUP($B$3,Date_list2[],ROW(A11),0)</f>
        <v>46183</v>
      </c>
      <c r="C13" s="13"/>
      <c r="D13" s="13"/>
      <c r="E13" s="14">
        <f t="shared" si="7"/>
        <v>0</v>
      </c>
      <c r="F13" s="13"/>
      <c r="G13" s="13"/>
      <c r="H13" s="14">
        <f t="shared" si="8"/>
        <v>0</v>
      </c>
      <c r="I13" s="13"/>
      <c r="J13" s="13"/>
      <c r="K13" s="14">
        <f t="shared" si="9"/>
        <v>0</v>
      </c>
      <c r="L13" s="13"/>
      <c r="M13" s="13"/>
      <c r="N13" s="14">
        <f t="shared" si="10"/>
        <v>0</v>
      </c>
      <c r="O13" s="13">
        <f t="shared" si="11"/>
        <v>0</v>
      </c>
      <c r="P13" s="13">
        <f t="shared" si="12"/>
        <v>0</v>
      </c>
      <c r="Q13" s="14">
        <f t="shared" si="13"/>
        <v>0</v>
      </c>
      <c r="R13" s="13">
        <f t="shared" si="6"/>
        <v>0</v>
      </c>
    </row>
    <row r="14" spans="1:18" ht="15.6" x14ac:dyDescent="0.3">
      <c r="A14" s="13">
        <v>11</v>
      </c>
      <c r="B14" s="16">
        <f ca="1">VLOOKUP($B$3,Date_list2[],ROW(A12),0)</f>
        <v>46184</v>
      </c>
      <c r="C14" s="13"/>
      <c r="D14" s="13"/>
      <c r="E14" s="14">
        <f>SUM(C14,D14)</f>
        <v>0</v>
      </c>
      <c r="F14" s="13"/>
      <c r="G14" s="13"/>
      <c r="H14" s="14">
        <f t="shared" si="8"/>
        <v>0</v>
      </c>
      <c r="I14" s="13"/>
      <c r="J14" s="13"/>
      <c r="K14" s="14">
        <f t="shared" si="9"/>
        <v>0</v>
      </c>
      <c r="L14" s="13"/>
      <c r="M14" s="13"/>
      <c r="N14" s="14">
        <f t="shared" si="10"/>
        <v>0</v>
      </c>
      <c r="O14" s="13">
        <f t="shared" si="11"/>
        <v>0</v>
      </c>
      <c r="P14" s="13">
        <f t="shared" si="12"/>
        <v>0</v>
      </c>
      <c r="Q14" s="14">
        <f t="shared" si="13"/>
        <v>0</v>
      </c>
      <c r="R14" s="13">
        <f t="shared" si="6"/>
        <v>0</v>
      </c>
    </row>
    <row r="15" spans="1:18" ht="15.6" x14ac:dyDescent="0.3">
      <c r="A15" s="13">
        <v>12</v>
      </c>
      <c r="B15" s="16">
        <f ca="1">VLOOKUP($B$3,Date_list2[],ROW(A13),0)</f>
        <v>46185</v>
      </c>
      <c r="C15" s="13"/>
      <c r="D15" s="13"/>
      <c r="E15" s="14">
        <f t="shared" si="7"/>
        <v>0</v>
      </c>
      <c r="F15" s="13"/>
      <c r="G15" s="13"/>
      <c r="H15" s="14">
        <f t="shared" si="8"/>
        <v>0</v>
      </c>
      <c r="I15" s="13"/>
      <c r="J15" s="13"/>
      <c r="K15" s="14">
        <f t="shared" si="9"/>
        <v>0</v>
      </c>
      <c r="L15" s="13"/>
      <c r="M15" s="13"/>
      <c r="N15" s="14">
        <f t="shared" si="10"/>
        <v>0</v>
      </c>
      <c r="O15" s="13">
        <f t="shared" si="11"/>
        <v>0</v>
      </c>
      <c r="P15" s="13">
        <f t="shared" si="12"/>
        <v>0</v>
      </c>
      <c r="Q15" s="14">
        <f t="shared" si="13"/>
        <v>0</v>
      </c>
      <c r="R15" s="13">
        <f t="shared" si="6"/>
        <v>0</v>
      </c>
    </row>
    <row r="16" spans="1:18" ht="15.6" x14ac:dyDescent="0.3">
      <c r="A16" s="13">
        <v>13</v>
      </c>
      <c r="B16" s="16">
        <f ca="1">VLOOKUP($B$3,Date_list2[],ROW(A14),0)</f>
        <v>46186</v>
      </c>
      <c r="C16" s="13"/>
      <c r="D16" s="13"/>
      <c r="E16" s="14">
        <f t="shared" si="7"/>
        <v>0</v>
      </c>
      <c r="F16" s="13"/>
      <c r="G16" s="13"/>
      <c r="H16" s="14">
        <f t="shared" si="8"/>
        <v>0</v>
      </c>
      <c r="I16" s="13"/>
      <c r="J16" s="13"/>
      <c r="K16" s="14">
        <f t="shared" si="9"/>
        <v>0</v>
      </c>
      <c r="L16" s="13"/>
      <c r="M16" s="13"/>
      <c r="N16" s="14">
        <f t="shared" si="10"/>
        <v>0</v>
      </c>
      <c r="O16" s="13">
        <f t="shared" si="11"/>
        <v>0</v>
      </c>
      <c r="P16" s="13">
        <f t="shared" si="12"/>
        <v>0</v>
      </c>
      <c r="Q16" s="14">
        <f t="shared" si="13"/>
        <v>0</v>
      </c>
      <c r="R16" s="13">
        <f t="shared" si="6"/>
        <v>0</v>
      </c>
    </row>
    <row r="17" spans="1:18" ht="15.6" x14ac:dyDescent="0.3">
      <c r="A17" s="13">
        <v>14</v>
      </c>
      <c r="B17" s="16" t="str">
        <f ca="1">VLOOKUP($B$3,Date_list2[],ROW(A15),0)</f>
        <v>SUNDAY</v>
      </c>
      <c r="C17" s="13"/>
      <c r="D17" s="13"/>
      <c r="E17" s="14">
        <f t="shared" si="7"/>
        <v>0</v>
      </c>
      <c r="F17" s="13"/>
      <c r="G17" s="13"/>
      <c r="H17" s="14">
        <f t="shared" si="8"/>
        <v>0</v>
      </c>
      <c r="I17" s="13"/>
      <c r="J17" s="13"/>
      <c r="K17" s="14">
        <f t="shared" si="9"/>
        <v>0</v>
      </c>
      <c r="L17" s="13"/>
      <c r="M17" s="13"/>
      <c r="N17" s="14">
        <f t="shared" si="10"/>
        <v>0</v>
      </c>
      <c r="O17" s="13">
        <f t="shared" si="11"/>
        <v>0</v>
      </c>
      <c r="P17" s="13">
        <f t="shared" si="12"/>
        <v>0</v>
      </c>
      <c r="Q17" s="14">
        <f t="shared" si="13"/>
        <v>0</v>
      </c>
      <c r="R17" s="13">
        <f t="shared" si="6"/>
        <v>0</v>
      </c>
    </row>
    <row r="18" spans="1:18" ht="15.6" x14ac:dyDescent="0.3">
      <c r="A18" s="13">
        <v>15</v>
      </c>
      <c r="B18" s="16">
        <f ca="1">VLOOKUP($B$3,Date_list2[],ROW(A16),0)</f>
        <v>46188</v>
      </c>
      <c r="C18" s="13"/>
      <c r="D18" s="13"/>
      <c r="E18" s="14">
        <f t="shared" si="7"/>
        <v>0</v>
      </c>
      <c r="F18" s="13"/>
      <c r="G18" s="13"/>
      <c r="H18" s="14">
        <f t="shared" si="8"/>
        <v>0</v>
      </c>
      <c r="I18" s="13"/>
      <c r="J18" s="13"/>
      <c r="K18" s="14">
        <f t="shared" si="9"/>
        <v>0</v>
      </c>
      <c r="L18" s="13"/>
      <c r="M18" s="13"/>
      <c r="N18" s="14">
        <f t="shared" si="10"/>
        <v>0</v>
      </c>
      <c r="O18" s="13">
        <f t="shared" si="11"/>
        <v>0</v>
      </c>
      <c r="P18" s="13">
        <f t="shared" si="12"/>
        <v>0</v>
      </c>
      <c r="Q18" s="14">
        <f t="shared" si="13"/>
        <v>0</v>
      </c>
      <c r="R18" s="13">
        <f t="shared" si="6"/>
        <v>0</v>
      </c>
    </row>
    <row r="19" spans="1:18" ht="15.6" x14ac:dyDescent="0.3">
      <c r="A19" s="13">
        <v>16</v>
      </c>
      <c r="B19" s="16">
        <f ca="1">VLOOKUP($B$3,Date_list2[],ROW(A17),0)</f>
        <v>46189</v>
      </c>
      <c r="C19" s="13"/>
      <c r="D19" s="13"/>
      <c r="E19" s="14">
        <f t="shared" si="7"/>
        <v>0</v>
      </c>
      <c r="F19" s="13"/>
      <c r="G19" s="13"/>
      <c r="H19" s="14">
        <f t="shared" si="8"/>
        <v>0</v>
      </c>
      <c r="I19" s="13"/>
      <c r="J19" s="13"/>
      <c r="K19" s="14">
        <f t="shared" si="9"/>
        <v>0</v>
      </c>
      <c r="L19" s="13"/>
      <c r="M19" s="13"/>
      <c r="N19" s="14">
        <f t="shared" si="10"/>
        <v>0</v>
      </c>
      <c r="O19" s="13">
        <f t="shared" si="11"/>
        <v>0</v>
      </c>
      <c r="P19" s="13">
        <f t="shared" si="12"/>
        <v>0</v>
      </c>
      <c r="Q19" s="14">
        <f t="shared" si="13"/>
        <v>0</v>
      </c>
      <c r="R19" s="13">
        <f t="shared" si="6"/>
        <v>0</v>
      </c>
    </row>
    <row r="20" spans="1:18" ht="15.6" x14ac:dyDescent="0.3">
      <c r="A20" s="13">
        <v>17</v>
      </c>
      <c r="B20" s="16">
        <f ca="1">VLOOKUP($B$3,Date_list2[],ROW(A18),0)</f>
        <v>46190</v>
      </c>
      <c r="C20" s="13"/>
      <c r="D20" s="13"/>
      <c r="E20" s="14">
        <f t="shared" si="7"/>
        <v>0</v>
      </c>
      <c r="F20" s="13"/>
      <c r="G20" s="13"/>
      <c r="H20" s="14">
        <f t="shared" si="8"/>
        <v>0</v>
      </c>
      <c r="I20" s="13"/>
      <c r="J20" s="13"/>
      <c r="K20" s="14">
        <f t="shared" si="9"/>
        <v>0</v>
      </c>
      <c r="L20" s="13"/>
      <c r="M20" s="13"/>
      <c r="N20" s="14">
        <f t="shared" si="10"/>
        <v>0</v>
      </c>
      <c r="O20" s="13">
        <f t="shared" si="11"/>
        <v>0</v>
      </c>
      <c r="P20" s="13">
        <f t="shared" si="12"/>
        <v>0</v>
      </c>
      <c r="Q20" s="14">
        <f t="shared" si="13"/>
        <v>0</v>
      </c>
      <c r="R20" s="13">
        <f t="shared" si="6"/>
        <v>0</v>
      </c>
    </row>
    <row r="21" spans="1:18" ht="15.6" x14ac:dyDescent="0.3">
      <c r="A21" s="13">
        <v>18</v>
      </c>
      <c r="B21" s="16">
        <f ca="1">VLOOKUP($B$3,Date_list2[],ROW(A19),0)</f>
        <v>46191</v>
      </c>
      <c r="C21" s="13"/>
      <c r="D21" s="13"/>
      <c r="E21" s="14">
        <f t="shared" si="7"/>
        <v>0</v>
      </c>
      <c r="F21" s="13"/>
      <c r="G21" s="13"/>
      <c r="H21" s="14">
        <f t="shared" si="8"/>
        <v>0</v>
      </c>
      <c r="I21" s="13"/>
      <c r="J21" s="13"/>
      <c r="K21" s="14">
        <f t="shared" si="9"/>
        <v>0</v>
      </c>
      <c r="L21" s="13"/>
      <c r="M21" s="13"/>
      <c r="N21" s="14">
        <f t="shared" si="10"/>
        <v>0</v>
      </c>
      <c r="O21" s="13">
        <f t="shared" si="11"/>
        <v>0</v>
      </c>
      <c r="P21" s="13">
        <f t="shared" si="12"/>
        <v>0</v>
      </c>
      <c r="Q21" s="14">
        <f t="shared" si="13"/>
        <v>0</v>
      </c>
      <c r="R21" s="13">
        <f t="shared" si="6"/>
        <v>0</v>
      </c>
    </row>
    <row r="22" spans="1:18" ht="15.6" x14ac:dyDescent="0.3">
      <c r="A22" s="13">
        <v>19</v>
      </c>
      <c r="B22" s="16">
        <f ca="1">VLOOKUP($B$3,Date_list2[],ROW(A20),0)</f>
        <v>46192</v>
      </c>
      <c r="C22" s="13"/>
      <c r="D22" s="13"/>
      <c r="E22" s="14">
        <f t="shared" si="7"/>
        <v>0</v>
      </c>
      <c r="F22" s="13"/>
      <c r="G22" s="13"/>
      <c r="H22" s="14">
        <f t="shared" si="8"/>
        <v>0</v>
      </c>
      <c r="I22" s="13"/>
      <c r="J22" s="13"/>
      <c r="K22" s="14">
        <f t="shared" si="9"/>
        <v>0</v>
      </c>
      <c r="L22" s="13"/>
      <c r="M22" s="13"/>
      <c r="N22" s="14">
        <f t="shared" si="10"/>
        <v>0</v>
      </c>
      <c r="O22" s="13">
        <f t="shared" si="11"/>
        <v>0</v>
      </c>
      <c r="P22" s="13">
        <f t="shared" si="12"/>
        <v>0</v>
      </c>
      <c r="Q22" s="14">
        <f t="shared" si="13"/>
        <v>0</v>
      </c>
      <c r="R22" s="13">
        <f t="shared" si="6"/>
        <v>0</v>
      </c>
    </row>
    <row r="23" spans="1:18" ht="15.6" x14ac:dyDescent="0.3">
      <c r="A23" s="13">
        <v>20</v>
      </c>
      <c r="B23" s="16">
        <f ca="1">VLOOKUP($B$3,Date_list2[],ROW(A21),0)</f>
        <v>46193</v>
      </c>
      <c r="C23" s="13"/>
      <c r="D23" s="13"/>
      <c r="E23" s="14">
        <f t="shared" si="7"/>
        <v>0</v>
      </c>
      <c r="F23" s="13"/>
      <c r="G23" s="13"/>
      <c r="H23" s="14">
        <f t="shared" si="8"/>
        <v>0</v>
      </c>
      <c r="I23" s="13"/>
      <c r="J23" s="13"/>
      <c r="K23" s="14">
        <f t="shared" si="9"/>
        <v>0</v>
      </c>
      <c r="L23" s="13"/>
      <c r="M23" s="13"/>
      <c r="N23" s="14">
        <f t="shared" si="10"/>
        <v>0</v>
      </c>
      <c r="O23" s="13">
        <f t="shared" si="11"/>
        <v>0</v>
      </c>
      <c r="P23" s="13">
        <f t="shared" si="12"/>
        <v>0</v>
      </c>
      <c r="Q23" s="14">
        <f t="shared" si="13"/>
        <v>0</v>
      </c>
      <c r="R23" s="13">
        <f t="shared" si="6"/>
        <v>0</v>
      </c>
    </row>
    <row r="24" spans="1:18" ht="15.6" x14ac:dyDescent="0.3">
      <c r="A24" s="13">
        <v>21</v>
      </c>
      <c r="B24" s="16" t="str">
        <f ca="1">VLOOKUP($B$3,Date_list2[],ROW(A22),0)</f>
        <v>SUNDAY</v>
      </c>
      <c r="C24" s="13"/>
      <c r="D24" s="13"/>
      <c r="E24" s="14">
        <f t="shared" si="7"/>
        <v>0</v>
      </c>
      <c r="F24" s="13"/>
      <c r="G24" s="13"/>
      <c r="H24" s="14">
        <f t="shared" si="8"/>
        <v>0</v>
      </c>
      <c r="I24" s="13"/>
      <c r="J24" s="13"/>
      <c r="K24" s="14">
        <f t="shared" si="9"/>
        <v>0</v>
      </c>
      <c r="L24" s="13"/>
      <c r="M24" s="13"/>
      <c r="N24" s="14">
        <f t="shared" si="10"/>
        <v>0</v>
      </c>
      <c r="O24" s="13">
        <f t="shared" si="11"/>
        <v>0</v>
      </c>
      <c r="P24" s="13">
        <f t="shared" si="12"/>
        <v>0</v>
      </c>
      <c r="Q24" s="14">
        <f t="shared" si="13"/>
        <v>0</v>
      </c>
      <c r="R24" s="13">
        <f t="shared" si="6"/>
        <v>0</v>
      </c>
    </row>
    <row r="25" spans="1:18" s="26" customFormat="1" ht="15.6" x14ac:dyDescent="0.3">
      <c r="A25" s="13">
        <v>22</v>
      </c>
      <c r="B25" s="16">
        <f ca="1">VLOOKUP($B$3,Date_list2[],ROW(A23),0)</f>
        <v>46195</v>
      </c>
      <c r="C25" s="25"/>
      <c r="D25" s="25"/>
      <c r="E25" s="14">
        <f t="shared" si="7"/>
        <v>0</v>
      </c>
      <c r="F25" s="25"/>
      <c r="G25" s="25"/>
      <c r="H25" s="14">
        <f t="shared" si="8"/>
        <v>0</v>
      </c>
      <c r="I25" s="25"/>
      <c r="J25" s="25"/>
      <c r="K25" s="14">
        <f t="shared" si="9"/>
        <v>0</v>
      </c>
      <c r="L25" s="25"/>
      <c r="M25" s="25"/>
      <c r="N25" s="14">
        <f t="shared" si="10"/>
        <v>0</v>
      </c>
      <c r="O25" s="13">
        <f t="shared" si="11"/>
        <v>0</v>
      </c>
      <c r="P25" s="13">
        <f t="shared" si="12"/>
        <v>0</v>
      </c>
      <c r="Q25" s="14">
        <f t="shared" si="13"/>
        <v>0</v>
      </c>
      <c r="R25" s="13">
        <f t="shared" si="6"/>
        <v>0</v>
      </c>
    </row>
    <row r="26" spans="1:18" ht="15.6" x14ac:dyDescent="0.3">
      <c r="A26" s="13">
        <v>23</v>
      </c>
      <c r="B26" s="16">
        <f ca="1">VLOOKUP($B$3,Date_list2[],ROW(A24),0)</f>
        <v>46196</v>
      </c>
      <c r="C26" s="13"/>
      <c r="D26" s="13"/>
      <c r="E26" s="14">
        <f t="shared" si="7"/>
        <v>0</v>
      </c>
      <c r="F26" s="13"/>
      <c r="G26" s="13"/>
      <c r="H26" s="14">
        <f t="shared" si="8"/>
        <v>0</v>
      </c>
      <c r="I26" s="13"/>
      <c r="J26" s="13"/>
      <c r="K26" s="14">
        <f t="shared" si="9"/>
        <v>0</v>
      </c>
      <c r="L26" s="13"/>
      <c r="M26" s="13"/>
      <c r="N26" s="14">
        <f t="shared" si="10"/>
        <v>0</v>
      </c>
      <c r="O26" s="13">
        <f t="shared" si="11"/>
        <v>0</v>
      </c>
      <c r="P26" s="13">
        <f t="shared" si="12"/>
        <v>0</v>
      </c>
      <c r="Q26" s="14">
        <f t="shared" si="13"/>
        <v>0</v>
      </c>
      <c r="R26" s="13">
        <f t="shared" si="6"/>
        <v>0</v>
      </c>
    </row>
    <row r="27" spans="1:18" ht="15.6" x14ac:dyDescent="0.3">
      <c r="A27" s="13">
        <v>24</v>
      </c>
      <c r="B27" s="16">
        <f ca="1">VLOOKUP($B$3,Date_list2[],ROW(A25),0)</f>
        <v>46197</v>
      </c>
      <c r="C27" s="13"/>
      <c r="D27" s="13"/>
      <c r="E27" s="14">
        <f t="shared" si="7"/>
        <v>0</v>
      </c>
      <c r="F27" s="13"/>
      <c r="G27" s="13"/>
      <c r="H27" s="14">
        <f t="shared" si="8"/>
        <v>0</v>
      </c>
      <c r="I27" s="13"/>
      <c r="J27" s="13"/>
      <c r="K27" s="14">
        <f t="shared" si="9"/>
        <v>0</v>
      </c>
      <c r="L27" s="13"/>
      <c r="M27" s="13"/>
      <c r="N27" s="14">
        <f t="shared" si="10"/>
        <v>0</v>
      </c>
      <c r="O27" s="13">
        <f t="shared" si="11"/>
        <v>0</v>
      </c>
      <c r="P27" s="13">
        <f t="shared" si="12"/>
        <v>0</v>
      </c>
      <c r="Q27" s="14">
        <f t="shared" si="13"/>
        <v>0</v>
      </c>
      <c r="R27" s="13">
        <f t="shared" si="6"/>
        <v>0</v>
      </c>
    </row>
    <row r="28" spans="1:18" ht="15.6" x14ac:dyDescent="0.3">
      <c r="A28" s="13">
        <v>25</v>
      </c>
      <c r="B28" s="16">
        <f ca="1">VLOOKUP($B$3,Date_list2[],ROW(A26),0)</f>
        <v>46198</v>
      </c>
      <c r="C28" s="13"/>
      <c r="D28" s="13"/>
      <c r="E28" s="14">
        <f t="shared" si="7"/>
        <v>0</v>
      </c>
      <c r="F28" s="13"/>
      <c r="G28" s="13"/>
      <c r="H28" s="14">
        <f t="shared" si="8"/>
        <v>0</v>
      </c>
      <c r="I28" s="13"/>
      <c r="J28" s="13"/>
      <c r="K28" s="14">
        <f t="shared" si="9"/>
        <v>0</v>
      </c>
      <c r="L28" s="13"/>
      <c r="M28" s="13"/>
      <c r="N28" s="14">
        <f t="shared" si="10"/>
        <v>0</v>
      </c>
      <c r="O28" s="13">
        <f t="shared" si="11"/>
        <v>0</v>
      </c>
      <c r="P28" s="13">
        <f t="shared" si="12"/>
        <v>0</v>
      </c>
      <c r="Q28" s="14">
        <f t="shared" si="13"/>
        <v>0</v>
      </c>
      <c r="R28" s="13">
        <f t="shared" si="6"/>
        <v>0</v>
      </c>
    </row>
    <row r="29" spans="1:18" ht="15.6" x14ac:dyDescent="0.3">
      <c r="A29" s="13">
        <v>26</v>
      </c>
      <c r="B29" s="16">
        <f ca="1">VLOOKUP($B$3,Date_list2[],ROW(A27),0)</f>
        <v>46199</v>
      </c>
      <c r="C29" s="13"/>
      <c r="D29" s="13"/>
      <c r="E29" s="14">
        <f t="shared" si="7"/>
        <v>0</v>
      </c>
      <c r="F29" s="13"/>
      <c r="G29" s="13"/>
      <c r="H29" s="14">
        <f t="shared" si="8"/>
        <v>0</v>
      </c>
      <c r="I29" s="13"/>
      <c r="J29" s="13"/>
      <c r="K29" s="14">
        <f t="shared" si="9"/>
        <v>0</v>
      </c>
      <c r="L29" s="13"/>
      <c r="M29" s="13"/>
      <c r="N29" s="14">
        <f t="shared" si="10"/>
        <v>0</v>
      </c>
      <c r="O29" s="13">
        <f t="shared" si="11"/>
        <v>0</v>
      </c>
      <c r="P29" s="13">
        <f t="shared" si="12"/>
        <v>0</v>
      </c>
      <c r="Q29" s="14">
        <f t="shared" si="13"/>
        <v>0</v>
      </c>
      <c r="R29" s="13">
        <f t="shared" si="6"/>
        <v>0</v>
      </c>
    </row>
    <row r="30" spans="1:18" ht="15.6" x14ac:dyDescent="0.3">
      <c r="A30" s="13">
        <v>27</v>
      </c>
      <c r="B30" s="16">
        <f ca="1">VLOOKUP($B$3,Date_list2[],ROW(A28),0)</f>
        <v>46200</v>
      </c>
      <c r="C30" s="13"/>
      <c r="D30" s="13"/>
      <c r="E30" s="14">
        <f t="shared" ref="E30:E34" si="14">SUM(C30,D30)</f>
        <v>0</v>
      </c>
      <c r="F30" s="13"/>
      <c r="G30" s="13"/>
      <c r="H30" s="14">
        <f t="shared" ref="H30:H34" si="15">SUM(F30,G30)</f>
        <v>0</v>
      </c>
      <c r="I30" s="13"/>
      <c r="J30" s="13"/>
      <c r="K30" s="14">
        <f t="shared" ref="K30:K34" si="16">SUM(I30,J30)</f>
        <v>0</v>
      </c>
      <c r="L30" s="13"/>
      <c r="M30" s="13"/>
      <c r="N30" s="14">
        <f t="shared" si="10"/>
        <v>0</v>
      </c>
      <c r="O30" s="13">
        <f t="shared" si="11"/>
        <v>0</v>
      </c>
      <c r="P30" s="13">
        <f t="shared" si="12"/>
        <v>0</v>
      </c>
      <c r="Q30" s="14">
        <f t="shared" si="13"/>
        <v>0</v>
      </c>
      <c r="R30" s="13">
        <f t="shared" ref="R30:R34" si="17">SUM(Q30*10.17/100)</f>
        <v>0</v>
      </c>
    </row>
    <row r="31" spans="1:18" ht="15.6" x14ac:dyDescent="0.3">
      <c r="A31" s="13">
        <v>28</v>
      </c>
      <c r="B31" s="16" t="str">
        <f ca="1">VLOOKUP($B$3,Date_list2[],ROW(A29),0)</f>
        <v>SUNDAY</v>
      </c>
      <c r="C31" s="13"/>
      <c r="D31" s="13"/>
      <c r="E31" s="14">
        <f t="shared" si="14"/>
        <v>0</v>
      </c>
      <c r="F31" s="13"/>
      <c r="G31" s="13"/>
      <c r="H31" s="14">
        <f t="shared" si="15"/>
        <v>0</v>
      </c>
      <c r="I31" s="13"/>
      <c r="J31" s="13"/>
      <c r="K31" s="14">
        <f t="shared" si="16"/>
        <v>0</v>
      </c>
      <c r="L31" s="13"/>
      <c r="M31" s="13"/>
      <c r="N31" s="14">
        <f t="shared" si="10"/>
        <v>0</v>
      </c>
      <c r="O31" s="13">
        <f t="shared" si="11"/>
        <v>0</v>
      </c>
      <c r="P31" s="13">
        <f t="shared" si="12"/>
        <v>0</v>
      </c>
      <c r="Q31" s="14">
        <f t="shared" si="13"/>
        <v>0</v>
      </c>
      <c r="R31" s="13">
        <f t="shared" si="17"/>
        <v>0</v>
      </c>
    </row>
    <row r="32" spans="1:18" ht="15.6" x14ac:dyDescent="0.3">
      <c r="A32" s="13">
        <v>29</v>
      </c>
      <c r="B32" s="16">
        <f ca="1">VLOOKUP($B$3,Date_list2[],ROW(A30),0)</f>
        <v>46202</v>
      </c>
      <c r="C32" s="13"/>
      <c r="D32" s="13"/>
      <c r="E32" s="14">
        <f t="shared" si="14"/>
        <v>0</v>
      </c>
      <c r="F32" s="13"/>
      <c r="G32" s="13"/>
      <c r="H32" s="14">
        <f t="shared" si="15"/>
        <v>0</v>
      </c>
      <c r="I32" s="13"/>
      <c r="J32" s="13"/>
      <c r="K32" s="14">
        <f t="shared" si="16"/>
        <v>0</v>
      </c>
      <c r="L32" s="13"/>
      <c r="M32" s="13"/>
      <c r="N32" s="14">
        <f t="shared" si="10"/>
        <v>0</v>
      </c>
      <c r="O32" s="13">
        <f t="shared" si="11"/>
        <v>0</v>
      </c>
      <c r="P32" s="13">
        <f t="shared" si="12"/>
        <v>0</v>
      </c>
      <c r="Q32" s="14">
        <f t="shared" si="13"/>
        <v>0</v>
      </c>
      <c r="R32" s="13">
        <f t="shared" si="17"/>
        <v>0</v>
      </c>
    </row>
    <row r="33" spans="1:18" ht="15.6" x14ac:dyDescent="0.3">
      <c r="A33" s="13">
        <v>30</v>
      </c>
      <c r="B33" s="16">
        <f ca="1">VLOOKUP($B$3,Date_list2[],ROW(A31),0)</f>
        <v>46203</v>
      </c>
      <c r="C33" s="13"/>
      <c r="D33" s="13"/>
      <c r="E33" s="14">
        <f t="shared" si="14"/>
        <v>0</v>
      </c>
      <c r="F33" s="13"/>
      <c r="G33" s="13"/>
      <c r="H33" s="14">
        <f t="shared" si="15"/>
        <v>0</v>
      </c>
      <c r="I33" s="13"/>
      <c r="J33" s="13"/>
      <c r="K33" s="14">
        <f t="shared" si="16"/>
        <v>0</v>
      </c>
      <c r="L33" s="13"/>
      <c r="M33" s="13"/>
      <c r="N33" s="14">
        <f t="shared" si="10"/>
        <v>0</v>
      </c>
      <c r="O33" s="13">
        <f t="shared" si="11"/>
        <v>0</v>
      </c>
      <c r="P33" s="13">
        <f t="shared" si="12"/>
        <v>0</v>
      </c>
      <c r="Q33" s="14">
        <f t="shared" si="13"/>
        <v>0</v>
      </c>
      <c r="R33" s="13">
        <f t="shared" si="17"/>
        <v>0</v>
      </c>
    </row>
    <row r="34" spans="1:18" ht="16.2" thickBot="1" x14ac:dyDescent="0.35">
      <c r="A34" s="34">
        <v>31</v>
      </c>
      <c r="B34" s="35" t="str">
        <f ca="1">VLOOKUP($B$3,Date_list2[],ROW(A32),0)</f>
        <v/>
      </c>
      <c r="C34" s="34"/>
      <c r="D34" s="34"/>
      <c r="E34" s="36">
        <f t="shared" si="14"/>
        <v>0</v>
      </c>
      <c r="F34" s="34"/>
      <c r="G34" s="34"/>
      <c r="H34" s="36">
        <f t="shared" si="15"/>
        <v>0</v>
      </c>
      <c r="I34" s="34"/>
      <c r="J34" s="34"/>
      <c r="K34" s="36">
        <f t="shared" si="16"/>
        <v>0</v>
      </c>
      <c r="L34" s="34"/>
      <c r="M34" s="34"/>
      <c r="N34" s="36">
        <f t="shared" si="10"/>
        <v>0</v>
      </c>
      <c r="O34" s="34">
        <f t="shared" si="11"/>
        <v>0</v>
      </c>
      <c r="P34" s="34">
        <f t="shared" si="12"/>
        <v>0</v>
      </c>
      <c r="Q34" s="36">
        <f t="shared" si="13"/>
        <v>0</v>
      </c>
      <c r="R34" s="34">
        <f t="shared" si="17"/>
        <v>0</v>
      </c>
    </row>
    <row r="35" spans="1:18" ht="19.2" customHeight="1" thickTop="1" thickBot="1" x14ac:dyDescent="0.5">
      <c r="A35" s="37" t="s">
        <v>8</v>
      </c>
      <c r="B35" s="37"/>
      <c r="C35" s="38">
        <f>SUM(C4:C34)</f>
        <v>0</v>
      </c>
      <c r="D35" s="38">
        <f t="shared" ref="D35:R35" si="18">SUM(D4:D34)</f>
        <v>0</v>
      </c>
      <c r="E35" s="38">
        <f t="shared" si="18"/>
        <v>0</v>
      </c>
      <c r="F35" s="38">
        <f t="shared" si="18"/>
        <v>0</v>
      </c>
      <c r="G35" s="38">
        <f t="shared" si="18"/>
        <v>0</v>
      </c>
      <c r="H35" s="38">
        <f t="shared" si="18"/>
        <v>0</v>
      </c>
      <c r="I35" s="38">
        <f t="shared" si="18"/>
        <v>0</v>
      </c>
      <c r="J35" s="38">
        <f t="shared" si="18"/>
        <v>0</v>
      </c>
      <c r="K35" s="38">
        <f t="shared" si="18"/>
        <v>0</v>
      </c>
      <c r="L35" s="38">
        <f t="shared" si="18"/>
        <v>0</v>
      </c>
      <c r="M35" s="38">
        <f t="shared" si="18"/>
        <v>0</v>
      </c>
      <c r="N35" s="38">
        <f t="shared" si="18"/>
        <v>0</v>
      </c>
      <c r="O35" s="38">
        <f t="shared" si="18"/>
        <v>0</v>
      </c>
      <c r="P35" s="38">
        <f t="shared" si="18"/>
        <v>0</v>
      </c>
      <c r="Q35" s="38">
        <f t="shared" si="18"/>
        <v>0</v>
      </c>
      <c r="R35" s="38">
        <f t="shared" si="18"/>
        <v>0</v>
      </c>
    </row>
    <row r="36" spans="1:18" ht="15" thickTop="1" x14ac:dyDescent="0.3"/>
  </sheetData>
  <protectedRanges>
    <protectedRange algorithmName="SHA-512" hashValue="iAcdvsDEUSAFMGlEexluGgCp4hTORqbqDCbe813Q+Osc22sZ4uqtp9iiRsEdJy8VvXoxD5GiPY8Ul5qEQ/YeRA==" saltValue="vMr9slB2t+eyQUgdyVXQJw==" spinCount="100000" sqref="R3:R34 A2:Q34" name="Range2"/>
    <protectedRange algorithmName="SHA-512" hashValue="+dgQ2ccmN3vaziif2JsYk9bTfpz3BKddHUTspnAnS0ho1o1sSqEgkeAcso329Mz9L5Q+H2ptO1Ug30oblfuBAw==" saltValue="BMteK/QHpZ+wXFQp46xAOA==" spinCount="100000" sqref="R3:R34 A2:Q34" name="Range1"/>
  </protectedRanges>
  <mergeCells count="8">
    <mergeCell ref="A35:B35"/>
    <mergeCell ref="A1:B1"/>
    <mergeCell ref="O2:Q2"/>
    <mergeCell ref="A2:A3"/>
    <mergeCell ref="C2:E2"/>
    <mergeCell ref="F2:H2"/>
    <mergeCell ref="I2:K2"/>
    <mergeCell ref="L2:N2"/>
  </mergeCells>
  <conditionalFormatting sqref="B4:B34">
    <cfRule type="containsBlanks" priority="1">
      <formula>LEN(TRIM(B4))=0</formula>
    </cfRule>
    <cfRule type="timePeriod" dxfId="52" priority="2" timePeriod="lastMonth">
      <formula>AND(MONTH(B4)=MONTH(EDATE(TODAY(),0-1)),YEAR(B4)=YEAR(EDATE(TODAY(),0-1)))</formula>
    </cfRule>
  </conditionalFormatting>
  <dataValidations count="1">
    <dataValidation type="list" allowBlank="1" showInputMessage="1" showErrorMessage="1" sqref="B3" xr:uid="{C921982E-BE1F-4DD6-B240-D6E7CA2465D7}">
      <formula1>Date_dropdown2</formula1>
    </dataValidation>
  </dataValidations>
  <pageMargins left="0.25" right="0.25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2FA2A033-77DB-4A28-974D-F39CA2B5170C}">
          <x14:formula1>
            <xm:f>Sheet4!A2</xm:f>
          </x14:formula1>
          <x14:formula2>
            <xm:f>Sheet4!L32</xm:f>
          </x14:formula2>
          <xm:sqref>B4:B34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FA99-2C25-415C-9BB5-5CDC022C4753}">
  <dimension ref="A1:AT14"/>
  <sheetViews>
    <sheetView topLeftCell="J1" workbookViewId="0">
      <selection activeCell="S10" sqref="S10"/>
    </sheetView>
  </sheetViews>
  <sheetFormatPr defaultRowHeight="14.4" x14ac:dyDescent="0.3"/>
  <cols>
    <col min="1" max="16384" width="8.88671875" style="20"/>
  </cols>
  <sheetData>
    <row r="1" spans="1:46" x14ac:dyDescent="0.3">
      <c r="A1" s="20" t="s">
        <v>23</v>
      </c>
      <c r="B1" s="20" t="s">
        <v>24</v>
      </c>
      <c r="C1" s="20" t="s">
        <v>25</v>
      </c>
      <c r="D1" s="20" t="s">
        <v>26</v>
      </c>
      <c r="E1" s="20" t="s">
        <v>27</v>
      </c>
      <c r="F1" s="20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  <c r="L1" s="20" t="s">
        <v>34</v>
      </c>
      <c r="M1" s="20" t="s">
        <v>35</v>
      </c>
      <c r="N1" s="20" t="s">
        <v>36</v>
      </c>
      <c r="O1" s="20" t="s">
        <v>37</v>
      </c>
      <c r="P1" s="20" t="s">
        <v>38</v>
      </c>
      <c r="Q1" s="20" t="s">
        <v>39</v>
      </c>
      <c r="R1" s="20" t="s">
        <v>40</v>
      </c>
      <c r="S1" s="20" t="s">
        <v>41</v>
      </c>
      <c r="T1" s="20" t="s">
        <v>42</v>
      </c>
      <c r="U1" s="20" t="s">
        <v>43</v>
      </c>
      <c r="V1" s="20" t="s">
        <v>44</v>
      </c>
      <c r="W1" s="20" t="s">
        <v>45</v>
      </c>
      <c r="X1" s="20" t="s">
        <v>46</v>
      </c>
      <c r="Y1" s="20" t="s">
        <v>47</v>
      </c>
      <c r="Z1" s="20" t="s">
        <v>48</v>
      </c>
      <c r="AA1" s="20" t="s">
        <v>49</v>
      </c>
      <c r="AB1" s="20" t="s">
        <v>50</v>
      </c>
      <c r="AC1" s="20" t="s">
        <v>51</v>
      </c>
      <c r="AD1" s="20" t="s">
        <v>52</v>
      </c>
      <c r="AE1" s="20" t="s">
        <v>53</v>
      </c>
      <c r="AF1" s="20" t="s">
        <v>54</v>
      </c>
    </row>
    <row r="2" spans="1:46" x14ac:dyDescent="0.3">
      <c r="A2" s="20" t="s">
        <v>11</v>
      </c>
      <c r="B2" s="21">
        <f ca="1">IF(COLUMN($A$2)&lt;=DAY(EOMONTH(DATE(YEAR(TODAY()),MONTH(DATEVALUE("1-"&amp;A2)),1),0)),IF(WEEKDAY(DATE(YEAR(TODAY()),MONTH(DATEVALUE("1-"&amp;A2)),COLUMN($A$2)),2)=7,"",DATE(YEAR(TODAY()),MONTH(DATEVALUE("1-"&amp;A2)),COLUMN($A$2))),"")</f>
        <v>46357</v>
      </c>
      <c r="C2" s="21">
        <f t="shared" ref="C2:AT2" ca="1" si="0">IF(COLUMN(B2)&lt;=DAY(EOMONTH(DATE(YEAR(TODAY()),MONTH(DATEVALUE("1-"&amp;$A$2)),1),0)),IF(WEEKDAY(DATE(YEAR(TODAY()),MONTH(DATEVALUE("1-"&amp;$A$2)),COLUMN(B2)),2)=7,"",DATE(YEAR(TODAY()),MONTH(DATEVALUE("1-"&amp;$A$2)),COLUMN(B2))),"")</f>
        <v>46358</v>
      </c>
      <c r="D2" s="21">
        <f t="shared" ca="1" si="0"/>
        <v>46359</v>
      </c>
      <c r="E2" s="21">
        <f t="shared" ca="1" si="0"/>
        <v>46360</v>
      </c>
      <c r="F2" s="21">
        <f t="shared" ca="1" si="0"/>
        <v>46361</v>
      </c>
      <c r="G2" s="21" t="str">
        <f t="shared" ca="1" si="0"/>
        <v/>
      </c>
      <c r="H2" s="21">
        <f t="shared" ca="1" si="0"/>
        <v>46363</v>
      </c>
      <c r="I2" s="21">
        <f t="shared" ca="1" si="0"/>
        <v>46364</v>
      </c>
      <c r="J2" s="21">
        <f t="shared" ca="1" si="0"/>
        <v>46365</v>
      </c>
      <c r="K2" s="21">
        <f t="shared" ca="1" si="0"/>
        <v>46366</v>
      </c>
      <c r="L2" s="21">
        <f t="shared" ca="1" si="0"/>
        <v>46367</v>
      </c>
      <c r="M2" s="21">
        <f t="shared" ca="1" si="0"/>
        <v>46368</v>
      </c>
      <c r="N2" s="21" t="str">
        <f t="shared" ca="1" si="0"/>
        <v/>
      </c>
      <c r="O2" s="21">
        <f t="shared" ca="1" si="0"/>
        <v>46370</v>
      </c>
      <c r="P2" s="21">
        <f t="shared" ca="1" si="0"/>
        <v>46371</v>
      </c>
      <c r="Q2" s="21">
        <f t="shared" ca="1" si="0"/>
        <v>46372</v>
      </c>
      <c r="R2" s="21">
        <f t="shared" ca="1" si="0"/>
        <v>46373</v>
      </c>
      <c r="S2" s="21">
        <f t="shared" ca="1" si="0"/>
        <v>46374</v>
      </c>
      <c r="T2" s="21">
        <f t="shared" ca="1" si="0"/>
        <v>46375</v>
      </c>
      <c r="U2" s="21" t="str">
        <f t="shared" ca="1" si="0"/>
        <v/>
      </c>
      <c r="V2" s="21">
        <f t="shared" ca="1" si="0"/>
        <v>46377</v>
      </c>
      <c r="W2" s="21">
        <f t="shared" ca="1" si="0"/>
        <v>46378</v>
      </c>
      <c r="X2" s="21">
        <f t="shared" ca="1" si="0"/>
        <v>46379</v>
      </c>
      <c r="Y2" s="21">
        <f t="shared" ca="1" si="0"/>
        <v>46380</v>
      </c>
      <c r="Z2" s="21">
        <f t="shared" ca="1" si="0"/>
        <v>46381</v>
      </c>
      <c r="AA2" s="21">
        <f t="shared" ca="1" si="0"/>
        <v>46382</v>
      </c>
      <c r="AB2" s="21" t="str">
        <f t="shared" ca="1" si="0"/>
        <v/>
      </c>
      <c r="AC2" s="21">
        <f t="shared" ca="1" si="0"/>
        <v>46384</v>
      </c>
      <c r="AD2" s="21">
        <f t="shared" ca="1" si="0"/>
        <v>46385</v>
      </c>
      <c r="AE2" s="21">
        <f t="shared" ca="1" si="0"/>
        <v>46386</v>
      </c>
      <c r="AF2" s="21">
        <f t="shared" ca="1" si="0"/>
        <v>46387</v>
      </c>
      <c r="AG2" s="21" t="str">
        <f t="shared" ca="1" si="0"/>
        <v/>
      </c>
      <c r="AH2" s="21" t="str">
        <f t="shared" ca="1" si="0"/>
        <v/>
      </c>
      <c r="AI2" s="21" t="str">
        <f t="shared" ca="1" si="0"/>
        <v/>
      </c>
      <c r="AJ2" s="21" t="str">
        <f t="shared" ca="1" si="0"/>
        <v/>
      </c>
      <c r="AK2" s="21" t="str">
        <f t="shared" ca="1" si="0"/>
        <v/>
      </c>
      <c r="AL2" s="21" t="str">
        <f t="shared" ca="1" si="0"/>
        <v/>
      </c>
      <c r="AM2" s="21" t="str">
        <f t="shared" ca="1" si="0"/>
        <v/>
      </c>
      <c r="AN2" s="21" t="str">
        <f t="shared" ca="1" si="0"/>
        <v/>
      </c>
      <c r="AO2" s="21" t="str">
        <f t="shared" ca="1" si="0"/>
        <v/>
      </c>
      <c r="AP2" s="21" t="str">
        <f t="shared" ca="1" si="0"/>
        <v/>
      </c>
      <c r="AQ2" s="21" t="str">
        <f t="shared" ca="1" si="0"/>
        <v/>
      </c>
      <c r="AR2" s="21" t="str">
        <f t="shared" ca="1" si="0"/>
        <v/>
      </c>
      <c r="AS2" s="21" t="str">
        <f t="shared" ca="1" si="0"/>
        <v/>
      </c>
      <c r="AT2" s="21" t="str">
        <f t="shared" ca="1" si="0"/>
        <v/>
      </c>
    </row>
    <row r="3" spans="1:46" x14ac:dyDescent="0.3">
      <c r="A3" s="20" t="s">
        <v>12</v>
      </c>
      <c r="B3" s="21">
        <f ca="1">IF(COLUMN(A2)&lt;=DAY(EOMONTH(DATE(YEAR(TODAY()),MONTH(DATEVALUE("1-"&amp;$A$3)),1),0)),IF(WEEKDAY(DATE(YEAR(TODAY()),MONTH(DATEVALUE("1-"&amp;$A$3)),COLUMN(A2)),2)=7,"",DATE(YEAR(TODAY()),MONTH(DATEVALUE("1-"&amp;$A$3)),COLUMN(A2))),"")</f>
        <v>46023</v>
      </c>
      <c r="C3" s="21">
        <f t="shared" ref="C3:AF3" ca="1" si="1">IF(COLUMN(B2)&lt;=DAY(EOMONTH(DATE(YEAR(TODAY()),MONTH(DATEVALUE("1-"&amp;$A$3)),1),0)),IF(WEEKDAY(DATE(YEAR(TODAY()),MONTH(DATEVALUE("1-"&amp;$A$3)),COLUMN(B2)),2)=7,"",DATE(YEAR(TODAY()),MONTH(DATEVALUE("1-"&amp;$A$3)),COLUMN(B2))),"")</f>
        <v>46024</v>
      </c>
      <c r="D3" s="21">
        <f t="shared" ca="1" si="1"/>
        <v>46025</v>
      </c>
      <c r="E3" s="21" t="str">
        <f t="shared" ca="1" si="1"/>
        <v/>
      </c>
      <c r="F3" s="21">
        <f t="shared" ca="1" si="1"/>
        <v>46027</v>
      </c>
      <c r="G3" s="21">
        <f t="shared" ca="1" si="1"/>
        <v>46028</v>
      </c>
      <c r="H3" s="21">
        <f t="shared" ca="1" si="1"/>
        <v>46029</v>
      </c>
      <c r="I3" s="21">
        <f t="shared" ca="1" si="1"/>
        <v>46030</v>
      </c>
      <c r="J3" s="21">
        <f t="shared" ca="1" si="1"/>
        <v>46031</v>
      </c>
      <c r="K3" s="21">
        <f t="shared" ca="1" si="1"/>
        <v>46032</v>
      </c>
      <c r="L3" s="21" t="str">
        <f t="shared" ca="1" si="1"/>
        <v/>
      </c>
      <c r="M3" s="21">
        <f t="shared" ca="1" si="1"/>
        <v>46034</v>
      </c>
      <c r="N3" s="21">
        <f t="shared" ca="1" si="1"/>
        <v>46035</v>
      </c>
      <c r="O3" s="21">
        <f t="shared" ca="1" si="1"/>
        <v>46036</v>
      </c>
      <c r="P3" s="21">
        <f t="shared" ca="1" si="1"/>
        <v>46037</v>
      </c>
      <c r="Q3" s="21">
        <f t="shared" ca="1" si="1"/>
        <v>46038</v>
      </c>
      <c r="R3" s="21">
        <f t="shared" ca="1" si="1"/>
        <v>46039</v>
      </c>
      <c r="S3" s="21" t="str">
        <f t="shared" ca="1" si="1"/>
        <v/>
      </c>
      <c r="T3" s="21">
        <f t="shared" ca="1" si="1"/>
        <v>46041</v>
      </c>
      <c r="U3" s="21">
        <f t="shared" ca="1" si="1"/>
        <v>46042</v>
      </c>
      <c r="V3" s="21">
        <f t="shared" ca="1" si="1"/>
        <v>46043</v>
      </c>
      <c r="W3" s="21">
        <f t="shared" ca="1" si="1"/>
        <v>46044</v>
      </c>
      <c r="X3" s="21">
        <f t="shared" ca="1" si="1"/>
        <v>46045</v>
      </c>
      <c r="Y3" s="21">
        <f t="shared" ca="1" si="1"/>
        <v>46046</v>
      </c>
      <c r="Z3" s="21" t="str">
        <f t="shared" ca="1" si="1"/>
        <v/>
      </c>
      <c r="AA3" s="21">
        <f t="shared" ca="1" si="1"/>
        <v>46048</v>
      </c>
      <c r="AB3" s="21">
        <f t="shared" ca="1" si="1"/>
        <v>46049</v>
      </c>
      <c r="AC3" s="21">
        <f t="shared" ca="1" si="1"/>
        <v>46050</v>
      </c>
      <c r="AD3" s="21">
        <f t="shared" ca="1" si="1"/>
        <v>46051</v>
      </c>
      <c r="AE3" s="21">
        <f t="shared" ca="1" si="1"/>
        <v>46052</v>
      </c>
      <c r="AF3" s="21">
        <f t="shared" ca="1" si="1"/>
        <v>46053</v>
      </c>
    </row>
    <row r="4" spans="1:46" x14ac:dyDescent="0.3">
      <c r="A4" s="20" t="s">
        <v>13</v>
      </c>
      <c r="B4" s="21" t="str">
        <f ca="1">IF(COLUMN(A2)&lt;=DAY(EOMONTH(DATE(YEAR(TODAY()),MONTH(DATEVALUE("1-"&amp;$A$4)),1),0)),IF(WEEKDAY(DATE(YEAR(TODAY()),MONTH(DATEVALUE("1-"&amp;$A$4)),COLUMN(A2)),2)=7,"",DATE(YEAR(TODAY()),MONTH(DATEVALUE("1-"&amp;$A$4)),COLUMN(A2))),"")</f>
        <v/>
      </c>
      <c r="C4" s="21">
        <f t="shared" ref="C4:I4" ca="1" si="2">IF(COLUMN(B2)&lt;=DAY(EOMONTH(DATE(YEAR(TODAY()),MONTH(DATEVALUE("1-"&amp;$A$4)),1),0)),IF(WEEKDAY(DATE(YEAR(TODAY()),MONTH(DATEVALUE("1-"&amp;$A$4)),COLUMN(B2)),2)=7,"",DATE(YEAR(TODAY()),MONTH(DATEVALUE("1-"&amp;$A$4)),COLUMN(B2))),"")</f>
        <v>46055</v>
      </c>
      <c r="D4" s="21">
        <f t="shared" ca="1" si="2"/>
        <v>46056</v>
      </c>
      <c r="E4" s="21">
        <f t="shared" ca="1" si="2"/>
        <v>46057</v>
      </c>
      <c r="F4" s="21">
        <f t="shared" ca="1" si="2"/>
        <v>46058</v>
      </c>
      <c r="G4" s="21">
        <f t="shared" ca="1" si="2"/>
        <v>46059</v>
      </c>
      <c r="H4" s="21">
        <f t="shared" ca="1" si="2"/>
        <v>46060</v>
      </c>
      <c r="I4" s="21" t="str">
        <f t="shared" ca="1" si="2"/>
        <v/>
      </c>
      <c r="J4" s="21">
        <f t="shared" ref="J4:AF4" ca="1" si="3">IF(COLUMN(I2)&lt;=DAY(EOMONTH(DATE(YEAR(TODAY()),MONTH(DATEVALUE("1-"&amp;$A$4)),1),0)),IF(WEEKDAY(DATE(YEAR(TODAY()),MONTH(DATEVALUE("1-"&amp;$A$4)),COLUMN(I2)),2)=7,"",DATE(YEAR(TODAY()),MONTH(DATEVALUE("1-"&amp;$A$4)),COLUMN(I2))),"")</f>
        <v>46062</v>
      </c>
      <c r="K4" s="21">
        <f t="shared" ca="1" si="3"/>
        <v>46063</v>
      </c>
      <c r="L4" s="21">
        <f t="shared" ca="1" si="3"/>
        <v>46064</v>
      </c>
      <c r="M4" s="21">
        <f t="shared" ca="1" si="3"/>
        <v>46065</v>
      </c>
      <c r="N4" s="21">
        <f t="shared" ca="1" si="3"/>
        <v>46066</v>
      </c>
      <c r="O4" s="21">
        <f t="shared" ca="1" si="3"/>
        <v>46067</v>
      </c>
      <c r="P4" s="21" t="str">
        <f t="shared" ca="1" si="3"/>
        <v/>
      </c>
      <c r="Q4" s="21">
        <f t="shared" ca="1" si="3"/>
        <v>46069</v>
      </c>
      <c r="R4" s="21">
        <f t="shared" ca="1" si="3"/>
        <v>46070</v>
      </c>
      <c r="S4" s="21">
        <f t="shared" ca="1" si="3"/>
        <v>46071</v>
      </c>
      <c r="T4" s="21">
        <f t="shared" ca="1" si="3"/>
        <v>46072</v>
      </c>
      <c r="U4" s="21">
        <f t="shared" ca="1" si="3"/>
        <v>46073</v>
      </c>
      <c r="V4" s="21">
        <f t="shared" ca="1" si="3"/>
        <v>46074</v>
      </c>
      <c r="W4" s="21" t="str">
        <f t="shared" ca="1" si="3"/>
        <v/>
      </c>
      <c r="X4" s="21">
        <f t="shared" ca="1" si="3"/>
        <v>46076</v>
      </c>
      <c r="Y4" s="21">
        <f t="shared" ca="1" si="3"/>
        <v>46077</v>
      </c>
      <c r="Z4" s="21">
        <f t="shared" ca="1" si="3"/>
        <v>46078</v>
      </c>
      <c r="AA4" s="21">
        <f t="shared" ca="1" si="3"/>
        <v>46079</v>
      </c>
      <c r="AB4" s="21">
        <f t="shared" ca="1" si="3"/>
        <v>46080</v>
      </c>
      <c r="AC4" s="21">
        <f t="shared" ca="1" si="3"/>
        <v>46081</v>
      </c>
      <c r="AD4" s="21" t="str">
        <f t="shared" ca="1" si="3"/>
        <v/>
      </c>
      <c r="AE4" s="21" t="str">
        <f t="shared" ca="1" si="3"/>
        <v/>
      </c>
      <c r="AF4" s="21" t="str">
        <f t="shared" ca="1" si="3"/>
        <v/>
      </c>
    </row>
    <row r="5" spans="1:46" x14ac:dyDescent="0.3">
      <c r="A5" s="22" t="s">
        <v>14</v>
      </c>
      <c r="B5" s="23" t="str">
        <f ca="1">IF(COLUMN(A2)&lt;=DAY(EOMONTH(DATE(YEAR(TODAY()),MONTH(DATEVALUE("1-"&amp;$A$5)),1),0)),IF(WEEKDAY(DATE(YEAR(TODAY()),MONTH(DATEVALUE("1-"&amp;$A$5)),COLUMN(A2)),2)=7,"SUNDAY",DATE(YEAR(TODAY()),MONTH(DATEVALUE("1-"&amp;$A$5)),COLUMN(A2))),"")</f>
        <v>SUNDAY</v>
      </c>
      <c r="C5" s="24">
        <f t="shared" ref="C5:AF5" ca="1" si="4">IF(COLUMN(B2)&lt;=DAY(EOMONTH(DATE(YEAR(TODAY()),MONTH(DATEVALUE("1-"&amp;$A$5)),1),0)),IF(WEEKDAY(DATE(YEAR(TODAY()),MONTH(DATEVALUE("1-"&amp;$A$5)),COLUMN(B2)),2)=7,"SUNDAY",DATE(YEAR(TODAY()),MONTH(DATEVALUE("1-"&amp;$A$5)),COLUMN(B2))),"")</f>
        <v>46083</v>
      </c>
      <c r="D5" s="24">
        <f t="shared" ca="1" si="4"/>
        <v>46084</v>
      </c>
      <c r="E5" s="24">
        <f t="shared" ca="1" si="4"/>
        <v>46085</v>
      </c>
      <c r="F5" s="24">
        <f t="shared" ca="1" si="4"/>
        <v>46086</v>
      </c>
      <c r="G5" s="24">
        <f t="shared" ca="1" si="4"/>
        <v>46087</v>
      </c>
      <c r="H5" s="24">
        <f t="shared" ca="1" si="4"/>
        <v>46088</v>
      </c>
      <c r="I5" s="23" t="str">
        <f t="shared" ca="1" si="4"/>
        <v>SUNDAY</v>
      </c>
      <c r="J5" s="24">
        <f t="shared" ca="1" si="4"/>
        <v>46090</v>
      </c>
      <c r="K5" s="24">
        <f t="shared" ca="1" si="4"/>
        <v>46091</v>
      </c>
      <c r="L5" s="24">
        <f t="shared" ca="1" si="4"/>
        <v>46092</v>
      </c>
      <c r="M5" s="24">
        <f t="shared" ca="1" si="4"/>
        <v>46093</v>
      </c>
      <c r="N5" s="24">
        <f t="shared" ca="1" si="4"/>
        <v>46094</v>
      </c>
      <c r="O5" s="24">
        <f t="shared" ca="1" si="4"/>
        <v>46095</v>
      </c>
      <c r="P5" s="23" t="str">
        <f t="shared" ca="1" si="4"/>
        <v>SUNDAY</v>
      </c>
      <c r="Q5" s="24">
        <f t="shared" ca="1" si="4"/>
        <v>46097</v>
      </c>
      <c r="R5" s="24">
        <f t="shared" ca="1" si="4"/>
        <v>46098</v>
      </c>
      <c r="S5" s="24">
        <f t="shared" ca="1" si="4"/>
        <v>46099</v>
      </c>
      <c r="T5" s="24">
        <f t="shared" ca="1" si="4"/>
        <v>46100</v>
      </c>
      <c r="U5" s="24">
        <f t="shared" ca="1" si="4"/>
        <v>46101</v>
      </c>
      <c r="V5" s="24">
        <f t="shared" ca="1" si="4"/>
        <v>46102</v>
      </c>
      <c r="W5" s="23" t="str">
        <f t="shared" ca="1" si="4"/>
        <v>SUNDAY</v>
      </c>
      <c r="X5" s="24">
        <f t="shared" ca="1" si="4"/>
        <v>46104</v>
      </c>
      <c r="Y5" s="24">
        <f t="shared" ca="1" si="4"/>
        <v>46105</v>
      </c>
      <c r="Z5" s="24">
        <f t="shared" ca="1" si="4"/>
        <v>46106</v>
      </c>
      <c r="AA5" s="24">
        <f t="shared" ca="1" si="4"/>
        <v>46107</v>
      </c>
      <c r="AB5" s="24">
        <f t="shared" ca="1" si="4"/>
        <v>46108</v>
      </c>
      <c r="AC5" s="24">
        <f t="shared" ca="1" si="4"/>
        <v>46109</v>
      </c>
      <c r="AD5" s="23" t="str">
        <f t="shared" ca="1" si="4"/>
        <v>SUNDAY</v>
      </c>
      <c r="AE5" s="24">
        <f t="shared" ca="1" si="4"/>
        <v>46111</v>
      </c>
      <c r="AF5" s="24">
        <f t="shared" ca="1" si="4"/>
        <v>46112</v>
      </c>
    </row>
    <row r="6" spans="1:46" x14ac:dyDescent="0.3">
      <c r="A6" s="22" t="s">
        <v>15</v>
      </c>
      <c r="B6" s="24">
        <f ca="1">IF(COLUMN(A2)&lt;=DAY(EOMONTH(DATE(YEAR(TODAY()),MONTH(DATEVALUE("1-"&amp;$A$6)),1),0)),IF(WEEKDAY(DATE(YEAR(TODAY()),MONTH(DATEVALUE("1-"&amp;$A$6)),COLUMN(A2)),2)=7,"SUNDAY",DATE(YEAR(TODAY()),MONTH(DATEVALUE("1-"&amp;$A$6)),COLUMN(A2))),"")</f>
        <v>46113</v>
      </c>
      <c r="C6" s="24">
        <f t="shared" ref="C6:AF6" ca="1" si="5">IF(COLUMN(B2)&lt;=DAY(EOMONTH(DATE(YEAR(TODAY()),MONTH(DATEVALUE("1-"&amp;$A$6)),1),0)),IF(WEEKDAY(DATE(YEAR(TODAY()),MONTH(DATEVALUE("1-"&amp;$A$6)),COLUMN(B2)),2)=7,"SUNDAY",DATE(YEAR(TODAY()),MONTH(DATEVALUE("1-"&amp;$A$6)),COLUMN(B2))),"")</f>
        <v>46114</v>
      </c>
      <c r="D6" s="24">
        <f t="shared" ca="1" si="5"/>
        <v>46115</v>
      </c>
      <c r="E6" s="24">
        <f t="shared" ca="1" si="5"/>
        <v>46116</v>
      </c>
      <c r="F6" s="24" t="str">
        <f t="shared" ca="1" si="5"/>
        <v>SUNDAY</v>
      </c>
      <c r="G6" s="24">
        <f t="shared" ca="1" si="5"/>
        <v>46118</v>
      </c>
      <c r="H6" s="24">
        <f t="shared" ca="1" si="5"/>
        <v>46119</v>
      </c>
      <c r="I6" s="24">
        <f t="shared" ca="1" si="5"/>
        <v>46120</v>
      </c>
      <c r="J6" s="24">
        <f t="shared" ca="1" si="5"/>
        <v>46121</v>
      </c>
      <c r="K6" s="24">
        <f t="shared" ca="1" si="5"/>
        <v>46122</v>
      </c>
      <c r="L6" s="24">
        <f t="shared" ca="1" si="5"/>
        <v>46123</v>
      </c>
      <c r="M6" s="24" t="str">
        <f t="shared" ca="1" si="5"/>
        <v>SUNDAY</v>
      </c>
      <c r="N6" s="24">
        <f t="shared" ca="1" si="5"/>
        <v>46125</v>
      </c>
      <c r="O6" s="24">
        <f t="shared" ca="1" si="5"/>
        <v>46126</v>
      </c>
      <c r="P6" s="24">
        <f t="shared" ca="1" si="5"/>
        <v>46127</v>
      </c>
      <c r="Q6" s="24">
        <f t="shared" ca="1" si="5"/>
        <v>46128</v>
      </c>
      <c r="R6" s="24">
        <f t="shared" ca="1" si="5"/>
        <v>46129</v>
      </c>
      <c r="S6" s="24">
        <f t="shared" ca="1" si="5"/>
        <v>46130</v>
      </c>
      <c r="T6" s="24" t="str">
        <f t="shared" ca="1" si="5"/>
        <v>SUNDAY</v>
      </c>
      <c r="U6" s="24">
        <f t="shared" ca="1" si="5"/>
        <v>46132</v>
      </c>
      <c r="V6" s="24">
        <f t="shared" ca="1" si="5"/>
        <v>46133</v>
      </c>
      <c r="W6" s="24">
        <f t="shared" ca="1" si="5"/>
        <v>46134</v>
      </c>
      <c r="X6" s="24">
        <f t="shared" ca="1" si="5"/>
        <v>46135</v>
      </c>
      <c r="Y6" s="24">
        <f t="shared" ca="1" si="5"/>
        <v>46136</v>
      </c>
      <c r="Z6" s="24">
        <f t="shared" ca="1" si="5"/>
        <v>46137</v>
      </c>
      <c r="AA6" s="24" t="str">
        <f t="shared" ca="1" si="5"/>
        <v>SUNDAY</v>
      </c>
      <c r="AB6" s="24">
        <f t="shared" ca="1" si="5"/>
        <v>46139</v>
      </c>
      <c r="AC6" s="24">
        <f t="shared" ca="1" si="5"/>
        <v>46140</v>
      </c>
      <c r="AD6" s="24">
        <f t="shared" ca="1" si="5"/>
        <v>46141</v>
      </c>
      <c r="AE6" s="24">
        <f t="shared" ca="1" si="5"/>
        <v>46142</v>
      </c>
      <c r="AF6" s="24" t="str">
        <f t="shared" ca="1" si="5"/>
        <v/>
      </c>
    </row>
    <row r="7" spans="1:46" x14ac:dyDescent="0.3">
      <c r="A7" s="22" t="s">
        <v>16</v>
      </c>
      <c r="B7" s="24">
        <f ca="1">IF(COLUMN(A2)&lt;=DAY(EOMONTH(DATE(YEAR(TODAY()),MONTH(DATEVALUE("1-"&amp;$A$7)),1),0)),IF(WEEKDAY(DATE(YEAR(TODAY()),MONTH(DATEVALUE("1-"&amp;$A$7)),COLUMN(A2)),2)=7,"SUNDAY",DATE(YEAR(TODAY()),MONTH(DATEVALUE("1-"&amp;$A$7)),COLUMN(A2))),"")</f>
        <v>46143</v>
      </c>
      <c r="C7" s="24">
        <f t="shared" ref="C7:AF7" ca="1" si="6">IF(COLUMN(B2)&lt;=DAY(EOMONTH(DATE(YEAR(TODAY()),MONTH(DATEVALUE("1-"&amp;$A$7)),1),0)),IF(WEEKDAY(DATE(YEAR(TODAY()),MONTH(DATEVALUE("1-"&amp;$A$7)),COLUMN(B2)),2)=7,"SUNDAY",DATE(YEAR(TODAY()),MONTH(DATEVALUE("1-"&amp;$A$7)),COLUMN(B2))),"")</f>
        <v>46144</v>
      </c>
      <c r="D7" s="23" t="str">
        <f t="shared" ca="1" si="6"/>
        <v>SUNDAY</v>
      </c>
      <c r="E7" s="24">
        <f t="shared" ca="1" si="6"/>
        <v>46146</v>
      </c>
      <c r="F7" s="24">
        <f t="shared" ca="1" si="6"/>
        <v>46147</v>
      </c>
      <c r="G7" s="24">
        <f t="shared" ca="1" si="6"/>
        <v>46148</v>
      </c>
      <c r="H7" s="24">
        <f t="shared" ca="1" si="6"/>
        <v>46149</v>
      </c>
      <c r="I7" s="24">
        <f t="shared" ca="1" si="6"/>
        <v>46150</v>
      </c>
      <c r="J7" s="24">
        <f t="shared" ca="1" si="6"/>
        <v>46151</v>
      </c>
      <c r="K7" s="23" t="str">
        <f t="shared" ca="1" si="6"/>
        <v>SUNDAY</v>
      </c>
      <c r="L7" s="24">
        <f t="shared" ca="1" si="6"/>
        <v>46153</v>
      </c>
      <c r="M7" s="24">
        <f t="shared" ca="1" si="6"/>
        <v>46154</v>
      </c>
      <c r="N7" s="24">
        <f t="shared" ca="1" si="6"/>
        <v>46155</v>
      </c>
      <c r="O7" s="24">
        <f t="shared" ca="1" si="6"/>
        <v>46156</v>
      </c>
      <c r="P7" s="24">
        <f t="shared" ca="1" si="6"/>
        <v>46157</v>
      </c>
      <c r="Q7" s="24">
        <f t="shared" ca="1" si="6"/>
        <v>46158</v>
      </c>
      <c r="R7" s="23" t="str">
        <f t="shared" ca="1" si="6"/>
        <v>SUNDAY</v>
      </c>
      <c r="S7" s="24">
        <f t="shared" ca="1" si="6"/>
        <v>46160</v>
      </c>
      <c r="T7" s="24">
        <f t="shared" ca="1" si="6"/>
        <v>46161</v>
      </c>
      <c r="U7" s="24">
        <f t="shared" ca="1" si="6"/>
        <v>46162</v>
      </c>
      <c r="V7" s="24">
        <f t="shared" ca="1" si="6"/>
        <v>46163</v>
      </c>
      <c r="W7" s="24">
        <f t="shared" ca="1" si="6"/>
        <v>46164</v>
      </c>
      <c r="X7" s="24">
        <f t="shared" ca="1" si="6"/>
        <v>46165</v>
      </c>
      <c r="Y7" s="23" t="str">
        <f t="shared" ca="1" si="6"/>
        <v>SUNDAY</v>
      </c>
      <c r="Z7" s="24">
        <f t="shared" ca="1" si="6"/>
        <v>46167</v>
      </c>
      <c r="AA7" s="24">
        <f t="shared" ca="1" si="6"/>
        <v>46168</v>
      </c>
      <c r="AB7" s="24">
        <f t="shared" ca="1" si="6"/>
        <v>46169</v>
      </c>
      <c r="AC7" s="24">
        <f t="shared" ca="1" si="6"/>
        <v>46170</v>
      </c>
      <c r="AD7" s="24">
        <f t="shared" ca="1" si="6"/>
        <v>46171</v>
      </c>
      <c r="AE7" s="24">
        <f t="shared" ca="1" si="6"/>
        <v>46172</v>
      </c>
      <c r="AF7" s="23" t="str">
        <f t="shared" ca="1" si="6"/>
        <v>SUNDAY</v>
      </c>
    </row>
    <row r="8" spans="1:46" x14ac:dyDescent="0.3">
      <c r="A8" s="22" t="s">
        <v>17</v>
      </c>
      <c r="B8" s="24">
        <f ca="1">IF(COLUMN(A2)&lt;=DAY(EOMONTH(DATE(YEAR(TODAY()),MONTH(DATEVALUE("1-"&amp;$A$8)),1),0)),IF(WEEKDAY(DATE(YEAR(TODAY()),MONTH(DATEVALUE("1-"&amp;$A$8)),COLUMN(A2)),2)=7,"SUNDAY",DATE(YEAR(TODAY()),MONTH(DATEVALUE("1-"&amp;$A$8)),COLUMN(A2))),"")</f>
        <v>46174</v>
      </c>
      <c r="C8" s="24">
        <f t="shared" ref="C8:AF8" ca="1" si="7">IF(COLUMN(B2)&lt;=DAY(EOMONTH(DATE(YEAR(TODAY()),MONTH(DATEVALUE("1-"&amp;$A$8)),1),0)),IF(WEEKDAY(DATE(YEAR(TODAY()),MONTH(DATEVALUE("1-"&amp;$A$8)),COLUMN(B2)),2)=7,"SUNDAY",DATE(YEAR(TODAY()),MONTH(DATEVALUE("1-"&amp;$A$8)),COLUMN(B2))),"")</f>
        <v>46175</v>
      </c>
      <c r="D8" s="24">
        <f t="shared" ca="1" si="7"/>
        <v>46176</v>
      </c>
      <c r="E8" s="24">
        <f t="shared" ca="1" si="7"/>
        <v>46177</v>
      </c>
      <c r="F8" s="24">
        <f t="shared" ca="1" si="7"/>
        <v>46178</v>
      </c>
      <c r="G8" s="24">
        <f t="shared" ca="1" si="7"/>
        <v>46179</v>
      </c>
      <c r="H8" s="24" t="str">
        <f t="shared" ca="1" si="7"/>
        <v>SUNDAY</v>
      </c>
      <c r="I8" s="24">
        <f t="shared" ca="1" si="7"/>
        <v>46181</v>
      </c>
      <c r="J8" s="24">
        <f t="shared" ca="1" si="7"/>
        <v>46182</v>
      </c>
      <c r="K8" s="24">
        <f t="shared" ca="1" si="7"/>
        <v>46183</v>
      </c>
      <c r="L8" s="24">
        <f t="shared" ca="1" si="7"/>
        <v>46184</v>
      </c>
      <c r="M8" s="24">
        <f t="shared" ca="1" si="7"/>
        <v>46185</v>
      </c>
      <c r="N8" s="24">
        <f t="shared" ca="1" si="7"/>
        <v>46186</v>
      </c>
      <c r="O8" s="24" t="str">
        <f t="shared" ca="1" si="7"/>
        <v>SUNDAY</v>
      </c>
      <c r="P8" s="24">
        <f t="shared" ca="1" si="7"/>
        <v>46188</v>
      </c>
      <c r="Q8" s="24">
        <f t="shared" ca="1" si="7"/>
        <v>46189</v>
      </c>
      <c r="R8" s="24">
        <f t="shared" ca="1" si="7"/>
        <v>46190</v>
      </c>
      <c r="S8" s="24">
        <f t="shared" ca="1" si="7"/>
        <v>46191</v>
      </c>
      <c r="T8" s="24">
        <f t="shared" ca="1" si="7"/>
        <v>46192</v>
      </c>
      <c r="U8" s="24">
        <f t="shared" ca="1" si="7"/>
        <v>46193</v>
      </c>
      <c r="V8" s="24" t="str">
        <f t="shared" ca="1" si="7"/>
        <v>SUNDAY</v>
      </c>
      <c r="W8" s="24">
        <f t="shared" ca="1" si="7"/>
        <v>46195</v>
      </c>
      <c r="X8" s="24">
        <f t="shared" ca="1" si="7"/>
        <v>46196</v>
      </c>
      <c r="Y8" s="24">
        <f t="shared" ca="1" si="7"/>
        <v>46197</v>
      </c>
      <c r="Z8" s="24">
        <f t="shared" ca="1" si="7"/>
        <v>46198</v>
      </c>
      <c r="AA8" s="24">
        <f t="shared" ca="1" si="7"/>
        <v>46199</v>
      </c>
      <c r="AB8" s="24">
        <f t="shared" ca="1" si="7"/>
        <v>46200</v>
      </c>
      <c r="AC8" s="24" t="str">
        <f t="shared" ca="1" si="7"/>
        <v>SUNDAY</v>
      </c>
      <c r="AD8" s="24">
        <f t="shared" ca="1" si="7"/>
        <v>46202</v>
      </c>
      <c r="AE8" s="24">
        <f t="shared" ca="1" si="7"/>
        <v>46203</v>
      </c>
      <c r="AF8" s="24" t="str">
        <f t="shared" ca="1" si="7"/>
        <v/>
      </c>
    </row>
    <row r="9" spans="1:46" x14ac:dyDescent="0.3">
      <c r="A9" s="22" t="s">
        <v>18</v>
      </c>
      <c r="B9" s="24">
        <f ca="1">IF(COLUMN(A2)&lt;=DAY(EOMONTH(DATE(YEAR(TODAY()),MONTH(DATEVALUE("1-"&amp;$A$9)),1),0)),IF(WEEKDAY(DATE(YEAR(TODAY()),MONTH(DATEVALUE("1-"&amp;$A$9)),COLUMN(A2)),2)=7,"SUNDAY",DATE(YEAR(TODAY()),MONTH(DATEVALUE("1-"&amp;$A$9)),COLUMN(A2))),"")</f>
        <v>46204</v>
      </c>
      <c r="C9" s="24">
        <f t="shared" ref="C9:AF9" ca="1" si="8">IF(COLUMN(B2)&lt;=DAY(EOMONTH(DATE(YEAR(TODAY()),MONTH(DATEVALUE("1-"&amp;$A$9)),1),0)),IF(WEEKDAY(DATE(YEAR(TODAY()),MONTH(DATEVALUE("1-"&amp;$A$9)),COLUMN(B2)),2)=7,"SUNDAY",DATE(YEAR(TODAY()),MONTH(DATEVALUE("1-"&amp;$A$9)),COLUMN(B2))),"")</f>
        <v>46205</v>
      </c>
      <c r="D9" s="24">
        <f t="shared" ca="1" si="8"/>
        <v>46206</v>
      </c>
      <c r="E9" s="24">
        <f t="shared" ca="1" si="8"/>
        <v>46207</v>
      </c>
      <c r="F9" s="24" t="str">
        <f t="shared" ca="1" si="8"/>
        <v>SUNDAY</v>
      </c>
      <c r="G9" s="24">
        <f t="shared" ca="1" si="8"/>
        <v>46209</v>
      </c>
      <c r="H9" s="24">
        <f t="shared" ca="1" si="8"/>
        <v>46210</v>
      </c>
      <c r="I9" s="24">
        <f t="shared" ca="1" si="8"/>
        <v>46211</v>
      </c>
      <c r="J9" s="24">
        <f t="shared" ca="1" si="8"/>
        <v>46212</v>
      </c>
      <c r="K9" s="24">
        <f t="shared" ca="1" si="8"/>
        <v>46213</v>
      </c>
      <c r="L9" s="24">
        <f t="shared" ca="1" si="8"/>
        <v>46214</v>
      </c>
      <c r="M9" s="24" t="str">
        <f t="shared" ca="1" si="8"/>
        <v>SUNDAY</v>
      </c>
      <c r="N9" s="24">
        <f t="shared" ca="1" si="8"/>
        <v>46216</v>
      </c>
      <c r="O9" s="24">
        <f t="shared" ca="1" si="8"/>
        <v>46217</v>
      </c>
      <c r="P9" s="24">
        <f t="shared" ca="1" si="8"/>
        <v>46218</v>
      </c>
      <c r="Q9" s="24">
        <f t="shared" ca="1" si="8"/>
        <v>46219</v>
      </c>
      <c r="R9" s="24">
        <f t="shared" ca="1" si="8"/>
        <v>46220</v>
      </c>
      <c r="S9" s="24">
        <f t="shared" ca="1" si="8"/>
        <v>46221</v>
      </c>
      <c r="T9" s="24" t="str">
        <f t="shared" ca="1" si="8"/>
        <v>SUNDAY</v>
      </c>
      <c r="U9" s="24">
        <f t="shared" ca="1" si="8"/>
        <v>46223</v>
      </c>
      <c r="V9" s="24">
        <f t="shared" ca="1" si="8"/>
        <v>46224</v>
      </c>
      <c r="W9" s="24">
        <f t="shared" ca="1" si="8"/>
        <v>46225</v>
      </c>
      <c r="X9" s="24">
        <f t="shared" ca="1" si="8"/>
        <v>46226</v>
      </c>
      <c r="Y9" s="24">
        <f t="shared" ca="1" si="8"/>
        <v>46227</v>
      </c>
      <c r="Z9" s="24">
        <f t="shared" ca="1" si="8"/>
        <v>46228</v>
      </c>
      <c r="AA9" s="24" t="str">
        <f t="shared" ca="1" si="8"/>
        <v>SUNDAY</v>
      </c>
      <c r="AB9" s="24">
        <f t="shared" ca="1" si="8"/>
        <v>46230</v>
      </c>
      <c r="AC9" s="24">
        <f t="shared" ca="1" si="8"/>
        <v>46231</v>
      </c>
      <c r="AD9" s="24">
        <f t="shared" ca="1" si="8"/>
        <v>46232</v>
      </c>
      <c r="AE9" s="24">
        <f t="shared" ca="1" si="8"/>
        <v>46233</v>
      </c>
      <c r="AF9" s="24">
        <f t="shared" ca="1" si="8"/>
        <v>46234</v>
      </c>
    </row>
    <row r="10" spans="1:46" x14ac:dyDescent="0.3">
      <c r="A10" s="22" t="s">
        <v>19</v>
      </c>
      <c r="B10" s="24">
        <f ca="1">IF(COLUMN(A2)&lt;=DAY(EOMONTH(DATE(YEAR(TODAY()),MONTH(DATEVALUE("1-"&amp;$A$10)),1),0)),IF(WEEKDAY(DATE(YEAR(TODAY()),MONTH(DATEVALUE("1-"&amp;$A$10)),COLUMN(A2)),2)=7,"SUNDAY",DATE(YEAR(TODAY()),MONTH(DATEVALUE("1-"&amp;$A$10)),COLUMN(A2))),"")</f>
        <v>46235</v>
      </c>
      <c r="C10" s="24" t="str">
        <f t="shared" ref="C10:AF10" ca="1" si="9">IF(COLUMN(B2)&lt;=DAY(EOMONTH(DATE(YEAR(TODAY()),MONTH(DATEVALUE("1-"&amp;$A$10)),1),0)),IF(WEEKDAY(DATE(YEAR(TODAY()),MONTH(DATEVALUE("1-"&amp;$A$10)),COLUMN(B2)),2)=7,"SUNDAY",DATE(YEAR(TODAY()),MONTH(DATEVALUE("1-"&amp;$A$10)),COLUMN(B2))),"")</f>
        <v>SUNDAY</v>
      </c>
      <c r="D10" s="24">
        <f t="shared" ca="1" si="9"/>
        <v>46237</v>
      </c>
      <c r="E10" s="24">
        <f t="shared" ca="1" si="9"/>
        <v>46238</v>
      </c>
      <c r="F10" s="24">
        <f t="shared" ca="1" si="9"/>
        <v>46239</v>
      </c>
      <c r="G10" s="24">
        <f t="shared" ca="1" si="9"/>
        <v>46240</v>
      </c>
      <c r="H10" s="24">
        <f t="shared" ca="1" si="9"/>
        <v>46241</v>
      </c>
      <c r="I10" s="24">
        <f t="shared" ca="1" si="9"/>
        <v>46242</v>
      </c>
      <c r="J10" s="24" t="str">
        <f t="shared" ca="1" si="9"/>
        <v>SUNDAY</v>
      </c>
      <c r="K10" s="24">
        <f t="shared" ca="1" si="9"/>
        <v>46244</v>
      </c>
      <c r="L10" s="24">
        <f t="shared" ca="1" si="9"/>
        <v>46245</v>
      </c>
      <c r="M10" s="24">
        <f t="shared" ca="1" si="9"/>
        <v>46246</v>
      </c>
      <c r="N10" s="24">
        <f t="shared" ca="1" si="9"/>
        <v>46247</v>
      </c>
      <c r="O10" s="24">
        <f t="shared" ca="1" si="9"/>
        <v>46248</v>
      </c>
      <c r="P10" s="24">
        <f t="shared" ca="1" si="9"/>
        <v>46249</v>
      </c>
      <c r="Q10" s="24" t="str">
        <f t="shared" ca="1" si="9"/>
        <v>SUNDAY</v>
      </c>
      <c r="R10" s="24">
        <f t="shared" ca="1" si="9"/>
        <v>46251</v>
      </c>
      <c r="S10" s="24">
        <f t="shared" ca="1" si="9"/>
        <v>46252</v>
      </c>
      <c r="T10" s="24">
        <f t="shared" ca="1" si="9"/>
        <v>46253</v>
      </c>
      <c r="U10" s="24">
        <f t="shared" ca="1" si="9"/>
        <v>46254</v>
      </c>
      <c r="V10" s="24">
        <f t="shared" ca="1" si="9"/>
        <v>46255</v>
      </c>
      <c r="W10" s="24">
        <f t="shared" ca="1" si="9"/>
        <v>46256</v>
      </c>
      <c r="X10" s="24" t="str">
        <f t="shared" ca="1" si="9"/>
        <v>SUNDAY</v>
      </c>
      <c r="Y10" s="24">
        <f t="shared" ca="1" si="9"/>
        <v>46258</v>
      </c>
      <c r="Z10" s="24">
        <f t="shared" ca="1" si="9"/>
        <v>46259</v>
      </c>
      <c r="AA10" s="24">
        <f t="shared" ca="1" si="9"/>
        <v>46260</v>
      </c>
      <c r="AB10" s="24">
        <f t="shared" ca="1" si="9"/>
        <v>46261</v>
      </c>
      <c r="AC10" s="24">
        <f t="shared" ca="1" si="9"/>
        <v>46262</v>
      </c>
      <c r="AD10" s="24">
        <f t="shared" ca="1" si="9"/>
        <v>46263</v>
      </c>
      <c r="AE10" s="24" t="str">
        <f t="shared" ca="1" si="9"/>
        <v>SUNDAY</v>
      </c>
      <c r="AF10" s="24">
        <f t="shared" ca="1" si="9"/>
        <v>46265</v>
      </c>
    </row>
    <row r="11" spans="1:46" x14ac:dyDescent="0.3">
      <c r="A11" s="22" t="s">
        <v>20</v>
      </c>
      <c r="B11" s="24">
        <f ca="1">IF(COLUMN(A2)&lt;=DAY(EOMONTH(DATE(YEAR(TODAY()),MONTH(DATEVALUE("1-"&amp;$A$11)),1),0)),IF(WEEKDAY(DATE(YEAR(TODAY()),MONTH(DATEVALUE("1-"&amp;$A$11)),COLUMN(A2)),2)=7,"SUNDAY",DATE(YEAR(TODAY()),MONTH(DATEVALUE("1-"&amp;$A$11)),COLUMN(A2))),"")</f>
        <v>46266</v>
      </c>
      <c r="C11" s="24">
        <f t="shared" ref="C11:AF11" ca="1" si="10">IF(COLUMN(B2)&lt;=DAY(EOMONTH(DATE(YEAR(TODAY()),MONTH(DATEVALUE("1-"&amp;$A$11)),1),0)),IF(WEEKDAY(DATE(YEAR(TODAY()),MONTH(DATEVALUE("1-"&amp;$A$11)),COLUMN(B2)),2)=7,"SUNDAY",DATE(YEAR(TODAY()),MONTH(DATEVALUE("1-"&amp;$A$11)),COLUMN(B2))),"")</f>
        <v>46267</v>
      </c>
      <c r="D11" s="24">
        <f t="shared" ca="1" si="10"/>
        <v>46268</v>
      </c>
      <c r="E11" s="24">
        <f t="shared" ca="1" si="10"/>
        <v>46269</v>
      </c>
      <c r="F11" s="24">
        <f t="shared" ca="1" si="10"/>
        <v>46270</v>
      </c>
      <c r="G11" s="24" t="str">
        <f t="shared" ca="1" si="10"/>
        <v>SUNDAY</v>
      </c>
      <c r="H11" s="24">
        <f t="shared" ca="1" si="10"/>
        <v>46272</v>
      </c>
      <c r="I11" s="24">
        <f t="shared" ca="1" si="10"/>
        <v>46273</v>
      </c>
      <c r="J11" s="24">
        <f t="shared" ca="1" si="10"/>
        <v>46274</v>
      </c>
      <c r="K11" s="24">
        <f t="shared" ca="1" si="10"/>
        <v>46275</v>
      </c>
      <c r="L11" s="24">
        <f t="shared" ca="1" si="10"/>
        <v>46276</v>
      </c>
      <c r="M11" s="24">
        <f t="shared" ca="1" si="10"/>
        <v>46277</v>
      </c>
      <c r="N11" s="24" t="str">
        <f t="shared" ca="1" si="10"/>
        <v>SUNDAY</v>
      </c>
      <c r="O11" s="24">
        <f t="shared" ca="1" si="10"/>
        <v>46279</v>
      </c>
      <c r="P11" s="24">
        <f t="shared" ca="1" si="10"/>
        <v>46280</v>
      </c>
      <c r="Q11" s="24">
        <f t="shared" ca="1" si="10"/>
        <v>46281</v>
      </c>
      <c r="R11" s="24">
        <f t="shared" ca="1" si="10"/>
        <v>46282</v>
      </c>
      <c r="S11" s="24">
        <f t="shared" ca="1" si="10"/>
        <v>46283</v>
      </c>
      <c r="T11" s="24">
        <f t="shared" ca="1" si="10"/>
        <v>46284</v>
      </c>
      <c r="U11" s="24" t="str">
        <f t="shared" ca="1" si="10"/>
        <v>SUNDAY</v>
      </c>
      <c r="V11" s="24">
        <f t="shared" ca="1" si="10"/>
        <v>46286</v>
      </c>
      <c r="W11" s="24">
        <f t="shared" ca="1" si="10"/>
        <v>46287</v>
      </c>
      <c r="X11" s="24">
        <f t="shared" ca="1" si="10"/>
        <v>46288</v>
      </c>
      <c r="Y11" s="24">
        <f t="shared" ca="1" si="10"/>
        <v>46289</v>
      </c>
      <c r="Z11" s="24">
        <f t="shared" ca="1" si="10"/>
        <v>46290</v>
      </c>
      <c r="AA11" s="24">
        <f t="shared" ca="1" si="10"/>
        <v>46291</v>
      </c>
      <c r="AB11" s="24" t="str">
        <f t="shared" ca="1" si="10"/>
        <v>SUNDAY</v>
      </c>
      <c r="AC11" s="24">
        <f t="shared" ca="1" si="10"/>
        <v>46293</v>
      </c>
      <c r="AD11" s="24">
        <f t="shared" ca="1" si="10"/>
        <v>46294</v>
      </c>
      <c r="AE11" s="24">
        <f t="shared" ca="1" si="10"/>
        <v>46295</v>
      </c>
      <c r="AF11" s="24" t="str">
        <f t="shared" ca="1" si="10"/>
        <v/>
      </c>
    </row>
    <row r="12" spans="1:46" x14ac:dyDescent="0.3">
      <c r="A12" s="22" t="s">
        <v>21</v>
      </c>
      <c r="B12" s="24">
        <f ca="1">IF(COLUMN(A2)&lt;=DAY(EOMONTH(DATE(YEAR(TODAY()),MONTH(DATEVALUE("1-"&amp;$A$12)),1),0)),IF(WEEKDAY(DATE(YEAR(TODAY()),MONTH(DATEVALUE("1-"&amp;$A$12)),COLUMN(A2)),2)=7,"SUNDAY",DATE(YEAR(TODAY()),MONTH(DATEVALUE("1-"&amp;$A$12)),COLUMN(A2))),"")</f>
        <v>46296</v>
      </c>
      <c r="C12" s="24">
        <f t="shared" ref="C12:AF12" ca="1" si="11">IF(COLUMN(B2)&lt;=DAY(EOMONTH(DATE(YEAR(TODAY()),MONTH(DATEVALUE("1-"&amp;$A$12)),1),0)),IF(WEEKDAY(DATE(YEAR(TODAY()),MONTH(DATEVALUE("1-"&amp;$A$12)),COLUMN(B2)),2)=7,"SUNDAY",DATE(YEAR(TODAY()),MONTH(DATEVALUE("1-"&amp;$A$12)),COLUMN(B2))),"")</f>
        <v>46297</v>
      </c>
      <c r="D12" s="24">
        <f t="shared" ca="1" si="11"/>
        <v>46298</v>
      </c>
      <c r="E12" s="24" t="str">
        <f t="shared" ca="1" si="11"/>
        <v>SUNDAY</v>
      </c>
      <c r="F12" s="24">
        <f t="shared" ca="1" si="11"/>
        <v>46300</v>
      </c>
      <c r="G12" s="24">
        <f t="shared" ca="1" si="11"/>
        <v>46301</v>
      </c>
      <c r="H12" s="24">
        <f t="shared" ca="1" si="11"/>
        <v>46302</v>
      </c>
      <c r="I12" s="24">
        <f t="shared" ca="1" si="11"/>
        <v>46303</v>
      </c>
      <c r="J12" s="24">
        <f t="shared" ca="1" si="11"/>
        <v>46304</v>
      </c>
      <c r="K12" s="24">
        <f t="shared" ca="1" si="11"/>
        <v>46305</v>
      </c>
      <c r="L12" s="24" t="str">
        <f t="shared" ca="1" si="11"/>
        <v>SUNDAY</v>
      </c>
      <c r="M12" s="24">
        <f t="shared" ca="1" si="11"/>
        <v>46307</v>
      </c>
      <c r="N12" s="24">
        <f t="shared" ca="1" si="11"/>
        <v>46308</v>
      </c>
      <c r="O12" s="24">
        <f t="shared" ca="1" si="11"/>
        <v>46309</v>
      </c>
      <c r="P12" s="24">
        <f t="shared" ca="1" si="11"/>
        <v>46310</v>
      </c>
      <c r="Q12" s="24">
        <f t="shared" ca="1" si="11"/>
        <v>46311</v>
      </c>
      <c r="R12" s="24">
        <f t="shared" ca="1" si="11"/>
        <v>46312</v>
      </c>
      <c r="S12" s="24" t="str">
        <f t="shared" ca="1" si="11"/>
        <v>SUNDAY</v>
      </c>
      <c r="T12" s="24">
        <f t="shared" ca="1" si="11"/>
        <v>46314</v>
      </c>
      <c r="U12" s="24">
        <f t="shared" ca="1" si="11"/>
        <v>46315</v>
      </c>
      <c r="V12" s="24">
        <f t="shared" ca="1" si="11"/>
        <v>46316</v>
      </c>
      <c r="W12" s="24">
        <f t="shared" ca="1" si="11"/>
        <v>46317</v>
      </c>
      <c r="X12" s="24">
        <f t="shared" ca="1" si="11"/>
        <v>46318</v>
      </c>
      <c r="Y12" s="24">
        <f t="shared" ca="1" si="11"/>
        <v>46319</v>
      </c>
      <c r="Z12" s="24" t="str">
        <f t="shared" ca="1" si="11"/>
        <v>SUNDAY</v>
      </c>
      <c r="AA12" s="24">
        <f t="shared" ca="1" si="11"/>
        <v>46321</v>
      </c>
      <c r="AB12" s="24">
        <f t="shared" ca="1" si="11"/>
        <v>46322</v>
      </c>
      <c r="AC12" s="24">
        <f t="shared" ca="1" si="11"/>
        <v>46323</v>
      </c>
      <c r="AD12" s="24">
        <f t="shared" ca="1" si="11"/>
        <v>46324</v>
      </c>
      <c r="AE12" s="24">
        <f t="shared" ca="1" si="11"/>
        <v>46325</v>
      </c>
      <c r="AF12" s="24">
        <f t="shared" ca="1" si="11"/>
        <v>46326</v>
      </c>
    </row>
    <row r="13" spans="1:46" x14ac:dyDescent="0.3">
      <c r="A13" s="22" t="s">
        <v>22</v>
      </c>
      <c r="B13" s="24" t="str">
        <f ca="1">IF(COLUMN(A2)&lt;=DAY(EOMONTH(DATE(YEAR(TODAY()),MONTH(DATEVALUE("1-"&amp;$A$13)),1),0)),IF(WEEKDAY(DATE(YEAR(TODAY()),MONTH(DATEVALUE("1-"&amp;$A$13)),COLUMN(A2)),2)=7,"SUNDAY",DATE(YEAR(TODAY()),MONTH(DATEVALUE("1-"&amp;$A$13)),COLUMN(A2))),"")</f>
        <v>SUNDAY</v>
      </c>
      <c r="C13" s="24">
        <f t="shared" ref="C13:AF13" ca="1" si="12">IF(COLUMN(B2)&lt;=DAY(EOMONTH(DATE(YEAR(TODAY()),MONTH(DATEVALUE("1-"&amp;$A$13)),1),0)),IF(WEEKDAY(DATE(YEAR(TODAY()),MONTH(DATEVALUE("1-"&amp;$A$13)),COLUMN(B2)),2)=7,"SUNDAY",DATE(YEAR(TODAY()),MONTH(DATEVALUE("1-"&amp;$A$13)),COLUMN(B2))),"")</f>
        <v>46328</v>
      </c>
      <c r="D13" s="24">
        <f t="shared" ca="1" si="12"/>
        <v>46329</v>
      </c>
      <c r="E13" s="24">
        <f t="shared" ca="1" si="12"/>
        <v>46330</v>
      </c>
      <c r="F13" s="24">
        <f t="shared" ca="1" si="12"/>
        <v>46331</v>
      </c>
      <c r="G13" s="24">
        <f t="shared" ca="1" si="12"/>
        <v>46332</v>
      </c>
      <c r="H13" s="24">
        <f t="shared" ca="1" si="12"/>
        <v>46333</v>
      </c>
      <c r="I13" s="24" t="str">
        <f t="shared" ca="1" si="12"/>
        <v>SUNDAY</v>
      </c>
      <c r="J13" s="24">
        <f t="shared" ca="1" si="12"/>
        <v>46335</v>
      </c>
      <c r="K13" s="24">
        <f t="shared" ca="1" si="12"/>
        <v>46336</v>
      </c>
      <c r="L13" s="24">
        <f t="shared" ca="1" si="12"/>
        <v>46337</v>
      </c>
      <c r="M13" s="24">
        <f t="shared" ca="1" si="12"/>
        <v>46338</v>
      </c>
      <c r="N13" s="24">
        <f t="shared" ca="1" si="12"/>
        <v>46339</v>
      </c>
      <c r="O13" s="24">
        <f t="shared" ca="1" si="12"/>
        <v>46340</v>
      </c>
      <c r="P13" s="24" t="str">
        <f t="shared" ca="1" si="12"/>
        <v>SUNDAY</v>
      </c>
      <c r="Q13" s="24">
        <f t="shared" ca="1" si="12"/>
        <v>46342</v>
      </c>
      <c r="R13" s="24">
        <f t="shared" ca="1" si="12"/>
        <v>46343</v>
      </c>
      <c r="S13" s="24">
        <f t="shared" ca="1" si="12"/>
        <v>46344</v>
      </c>
      <c r="T13" s="24">
        <f t="shared" ca="1" si="12"/>
        <v>46345</v>
      </c>
      <c r="U13" s="24">
        <f t="shared" ca="1" si="12"/>
        <v>46346</v>
      </c>
      <c r="V13" s="24">
        <f t="shared" ca="1" si="12"/>
        <v>46347</v>
      </c>
      <c r="W13" s="24" t="str">
        <f t="shared" ca="1" si="12"/>
        <v>SUNDAY</v>
      </c>
      <c r="X13" s="24">
        <f t="shared" ca="1" si="12"/>
        <v>46349</v>
      </c>
      <c r="Y13" s="24">
        <f t="shared" ca="1" si="12"/>
        <v>46350</v>
      </c>
      <c r="Z13" s="24">
        <f t="shared" ca="1" si="12"/>
        <v>46351</v>
      </c>
      <c r="AA13" s="24">
        <f t="shared" ca="1" si="12"/>
        <v>46352</v>
      </c>
      <c r="AB13" s="24">
        <f t="shared" ca="1" si="12"/>
        <v>46353</v>
      </c>
      <c r="AC13" s="24">
        <f t="shared" ca="1" si="12"/>
        <v>46354</v>
      </c>
      <c r="AD13" s="24" t="str">
        <f t="shared" ca="1" si="12"/>
        <v>SUNDAY</v>
      </c>
      <c r="AE13" s="24">
        <f t="shared" ca="1" si="12"/>
        <v>46356</v>
      </c>
      <c r="AF13" s="24" t="str">
        <f t="shared" ca="1" si="12"/>
        <v/>
      </c>
    </row>
    <row r="14" spans="1:46" x14ac:dyDescent="0.3">
      <c r="A14" s="22" t="s">
        <v>11</v>
      </c>
      <c r="B14" s="24">
        <f ca="1">IF(COLUMN(A2)&lt;=DAY(EOMONTH(DATE(YEAR(TODAY()),MONTH(DATEVALUE("1-"&amp;$A$14)),1),0)),IF(WEEKDAY(DATE(YEAR(TODAY()),MONTH(DATEVALUE("1-"&amp;$A$14)),COLUMN(A2)),2)=7,"SUNDAY",DATE(YEAR(TODAY()),MONTH(DATEVALUE("1-"&amp;$A$14)),COLUMN(A2))),"")</f>
        <v>46357</v>
      </c>
      <c r="C14" s="24">
        <f t="shared" ref="C14:AF14" ca="1" si="13">IF(COLUMN(B2)&lt;=DAY(EOMONTH(DATE(YEAR(TODAY()),MONTH(DATEVALUE("1-"&amp;$A$14)),1),0)),IF(WEEKDAY(DATE(YEAR(TODAY()),MONTH(DATEVALUE("1-"&amp;$A$14)),COLUMN(B2)),2)=7,"SUNDAY",DATE(YEAR(TODAY()),MONTH(DATEVALUE("1-"&amp;$A$14)),COLUMN(B2))),"")</f>
        <v>46358</v>
      </c>
      <c r="D14" s="24">
        <f t="shared" ca="1" si="13"/>
        <v>46359</v>
      </c>
      <c r="E14" s="24">
        <f t="shared" ca="1" si="13"/>
        <v>46360</v>
      </c>
      <c r="F14" s="24">
        <f t="shared" ca="1" si="13"/>
        <v>46361</v>
      </c>
      <c r="G14" s="24" t="str">
        <f t="shared" ca="1" si="13"/>
        <v>SUNDAY</v>
      </c>
      <c r="H14" s="24">
        <f t="shared" ca="1" si="13"/>
        <v>46363</v>
      </c>
      <c r="I14" s="24">
        <f t="shared" ca="1" si="13"/>
        <v>46364</v>
      </c>
      <c r="J14" s="24">
        <f t="shared" ca="1" si="13"/>
        <v>46365</v>
      </c>
      <c r="K14" s="24">
        <f t="shared" ca="1" si="13"/>
        <v>46366</v>
      </c>
      <c r="L14" s="24">
        <f t="shared" ca="1" si="13"/>
        <v>46367</v>
      </c>
      <c r="M14" s="24">
        <f t="shared" ca="1" si="13"/>
        <v>46368</v>
      </c>
      <c r="N14" s="24" t="str">
        <f t="shared" ca="1" si="13"/>
        <v>SUNDAY</v>
      </c>
      <c r="O14" s="24">
        <f t="shared" ca="1" si="13"/>
        <v>46370</v>
      </c>
      <c r="P14" s="24">
        <f t="shared" ca="1" si="13"/>
        <v>46371</v>
      </c>
      <c r="Q14" s="24">
        <f t="shared" ca="1" si="13"/>
        <v>46372</v>
      </c>
      <c r="R14" s="24">
        <f t="shared" ca="1" si="13"/>
        <v>46373</v>
      </c>
      <c r="S14" s="24">
        <f t="shared" ca="1" si="13"/>
        <v>46374</v>
      </c>
      <c r="T14" s="24">
        <f t="shared" ca="1" si="13"/>
        <v>46375</v>
      </c>
      <c r="U14" s="24" t="str">
        <f t="shared" ca="1" si="13"/>
        <v>SUNDAY</v>
      </c>
      <c r="V14" s="24">
        <f t="shared" ca="1" si="13"/>
        <v>46377</v>
      </c>
      <c r="W14" s="24">
        <f t="shared" ca="1" si="13"/>
        <v>46378</v>
      </c>
      <c r="X14" s="24">
        <f t="shared" ca="1" si="13"/>
        <v>46379</v>
      </c>
      <c r="Y14" s="24">
        <f t="shared" ca="1" si="13"/>
        <v>46380</v>
      </c>
      <c r="Z14" s="24">
        <f t="shared" ca="1" si="13"/>
        <v>46381</v>
      </c>
      <c r="AA14" s="24">
        <f t="shared" ca="1" si="13"/>
        <v>46382</v>
      </c>
      <c r="AB14" s="24" t="str">
        <f t="shared" ca="1" si="13"/>
        <v>SUNDAY</v>
      </c>
      <c r="AC14" s="24">
        <f t="shared" ca="1" si="13"/>
        <v>46384</v>
      </c>
      <c r="AD14" s="24">
        <f t="shared" ca="1" si="13"/>
        <v>46385</v>
      </c>
      <c r="AE14" s="24">
        <f t="shared" ca="1" si="13"/>
        <v>46386</v>
      </c>
      <c r="AF14" s="24">
        <f t="shared" ca="1" si="13"/>
        <v>46387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1A97-8515-4FF3-BAB9-E19AF94B295B}">
  <dimension ref="A1:L39"/>
  <sheetViews>
    <sheetView workbookViewId="0">
      <selection activeCell="A2" sqref="A2"/>
    </sheetView>
  </sheetViews>
  <sheetFormatPr defaultRowHeight="14.4" x14ac:dyDescent="0.3"/>
  <cols>
    <col min="1" max="1" width="9.44140625" style="1" customWidth="1"/>
    <col min="2" max="2" width="11.33203125" style="1" customWidth="1"/>
    <col min="3" max="8" width="8.88671875" style="1"/>
    <col min="9" max="9" width="12.109375" style="1" customWidth="1"/>
    <col min="10" max="10" width="9.6640625" style="1" customWidth="1"/>
    <col min="11" max="11" width="11.77734375" style="1" customWidth="1"/>
    <col min="12" max="12" width="11.44140625" style="1" customWidth="1"/>
    <col min="13" max="16384" width="8.88671875" style="1"/>
  </cols>
  <sheetData>
    <row r="1" spans="1:12" x14ac:dyDescent="0.3">
      <c r="A1" s="8" t="s">
        <v>12</v>
      </c>
      <c r="B1" s="9" t="s">
        <v>13</v>
      </c>
      <c r="C1" s="10" t="s">
        <v>14</v>
      </c>
      <c r="D1" s="9" t="s">
        <v>15</v>
      </c>
      <c r="E1" s="10" t="s">
        <v>16</v>
      </c>
      <c r="F1" s="9" t="s">
        <v>17</v>
      </c>
      <c r="G1" s="10" t="s">
        <v>18</v>
      </c>
      <c r="H1" s="9" t="s">
        <v>19</v>
      </c>
      <c r="I1" s="10" t="s">
        <v>20</v>
      </c>
      <c r="J1" s="9" t="s">
        <v>21</v>
      </c>
      <c r="K1" s="10" t="s">
        <v>22</v>
      </c>
      <c r="L1" s="11" t="s">
        <v>11</v>
      </c>
    </row>
    <row r="2" spans="1:12" x14ac:dyDescent="0.3">
      <c r="A2" s="3">
        <f ca="1">IF(ROW(A1)&lt;=DAY(EOMONTH(DATE(YEAR(TODAY()),MONTH(DATEVALUE("1-"&amp;$A$1)),1),0)),IF(WEEKDAY(DATE(YEAR(TODAY()),MONTH(DATEVALUE("1-"&amp;$A$1)),ROW(A1)),2)=7,"",DATE(YEAR(TODAY()),MONTH(DATEVALUE("1-"&amp;$A$1)),ROW(A1))),"")</f>
        <v>46023</v>
      </c>
      <c r="B2" s="2" t="str">
        <f ca="1">IF(ROW(B1)&lt;=DAY(EOMONTH(DATE(YEAR(TODAY()),MONTH(DATEVALUE("1-"&amp;$B$1)),1),0)),IF(WEEKDAY(DATE(YEAR(TODAY()),MONTH(DATEVALUE("1-"&amp;$B$1)),ROW(B1)),2)=7,"",DATE(YEAR(TODAY()),MONTH(DATEVALUE("1-"&amp;$B$1)),ROW(B1))),"")</f>
        <v/>
      </c>
      <c r="C2" s="2" t="str">
        <f ca="1">IF(ROW(C1)&lt;=DAY(EOMONTH(DATE(YEAR(TODAY()),MONTH(DATEVALUE("1-"&amp;$C$1)),1),0)),IF(WEEKDAY(DATE(YEAR(TODAY()),MONTH(DATEVALUE("1-"&amp;$C$1)),ROW(C1)),2)=7,"",DATE(YEAR(TODAY()),MONTH(DATEVALUE("1-"&amp;$C$1)),ROW(C1))),"")</f>
        <v/>
      </c>
      <c r="D2" s="2">
        <f ca="1">IF(ROW(D1)&lt;=DAY(EOMONTH(DATE(YEAR(TODAY()),MONTH(DATEVALUE("1-"&amp;$D$1)),1),0)),IF(WEEKDAY(DATE(YEAR(TODAY()),MONTH(DATEVALUE("1-"&amp;$D$1)),ROW(D1)),2)=7,"",DATE(YEAR(TODAY()),MONTH(DATEVALUE("1-"&amp;$D$1)),ROW(D1))),"")</f>
        <v>46113</v>
      </c>
      <c r="E2" s="2">
        <f ca="1">IF(ROW(E1)&lt;=DAY(EOMONTH(DATE(YEAR(TODAY()),MONTH(DATEVALUE("1-"&amp;$E$1)),1),0)),IF(WEEKDAY(DATE(YEAR(TODAY()),MONTH(DATEVALUE("1-"&amp;$E$1)),ROW(E1)),2)=7,"",DATE(YEAR(TODAY()),MONTH(DATEVALUE("1-"&amp;$E$1)),ROW(E1))),"")</f>
        <v>46143</v>
      </c>
      <c r="F2" s="2">
        <f ca="1">IF(ROW(F1)&lt;=DAY(EOMONTH(DATE(YEAR(TODAY()),MONTH(DATEVALUE("1-"&amp;$F$1)),1),0)),IF(WEEKDAY(DATE(YEAR(TODAY()),MONTH(DATEVALUE("1-"&amp;$F$1)),ROW(F1)),2)=7,"",DATE(YEAR(TODAY()),MONTH(DATEVALUE("1-"&amp;$F$1)),ROW(F1))),"")</f>
        <v>46174</v>
      </c>
      <c r="G2" s="2">
        <f ca="1">IF(ROW(G1)&lt;=DAY(EOMONTH(DATE(YEAR(TODAY()),MONTH(DATEVALUE("1-"&amp;$G$1)),1),0)),IF(WEEKDAY(DATE(YEAR(TODAY()),MONTH(DATEVALUE("1-"&amp;$G$1)),ROW(G1)),2)=7,"",DATE(YEAR(TODAY()),MONTH(DATEVALUE("1-"&amp;$G$1)),ROW(G1))),"")</f>
        <v>46204</v>
      </c>
      <c r="H2" s="2">
        <f ca="1">IF(ROW(H1)&lt;=DAY(EOMONTH(DATE(YEAR(TODAY()),MONTH(DATEVALUE("1-"&amp;$H$1)),1),0)),IF(WEEKDAY(DATE(YEAR(TODAY()),MONTH(DATEVALUE("1-"&amp;$H$1)),ROW(H1)),2)=7,"",DATE(YEAR(TODAY()),MONTH(DATEVALUE("1-"&amp;$H$1)),ROW(H1))),"")</f>
        <v>46235</v>
      </c>
      <c r="I2" s="2">
        <f ca="1">IF(ROW(I1)&lt;=DAY(EOMONTH(DATE(YEAR(TODAY()),MONTH(DATEVALUE("1-"&amp;$I$1)),1),0)),IF(WEEKDAY(DATE(YEAR(TODAY()),MONTH(DATEVALUE("1-"&amp;$I$1)),ROW(I1)),2)=7,"",DATE(YEAR(TODAY()),MONTH(DATEVALUE("1-"&amp;$I$1)),ROW(I1))),"")</f>
        <v>46266</v>
      </c>
      <c r="J2" s="2">
        <f ca="1">IF(ROW(J1)&lt;=DAY(EOMONTH(DATE(YEAR(TODAY()),MONTH(DATEVALUE("1-"&amp;$J$1)),1),0)),IF(WEEKDAY(DATE(YEAR(TODAY()),MONTH(DATEVALUE("1-"&amp;$J$1)),ROW(J1)),2)=7,"",DATE(YEAR(TODAY()),MONTH(DATEVALUE("1-"&amp;$J$1)),ROW(J1))),"")</f>
        <v>46296</v>
      </c>
      <c r="K2" s="2" t="str">
        <f ca="1">IF(ROW(K1)&lt;=DAY(EOMONTH(DATE(YEAR(TODAY()),MONTH(DATEVALUE("1-"&amp;$K$1)),1),0)),IF(WEEKDAY(DATE(YEAR(TODAY()),MONTH(DATEVALUE("1-"&amp;$K$1)),ROW(K1)),2)=7,"",DATE(YEAR(TODAY()),MONTH(DATEVALUE("1-"&amp;$K$1)),ROW(K1))),"")</f>
        <v/>
      </c>
      <c r="L2" s="4">
        <f ca="1">IF(ROW(L1)&lt;=DAY(EOMONTH(DATE(YEAR(TODAY()),MONTH(DATEVALUE("1-"&amp;$L$1)),1),0)),IF(WEEKDAY(DATE(YEAR(TODAY()),MONTH(DATEVALUE("1-"&amp;$L$1)),ROW(L1)),2)=7,"",DATE(YEAR(TODAY()),MONTH(DATEVALUE("1-"&amp;$L$1)),ROW(L1))),"")</f>
        <v>46357</v>
      </c>
    </row>
    <row r="3" spans="1:12" x14ac:dyDescent="0.3">
      <c r="A3" s="3">
        <f ca="1">IF(ROW(A2)&lt;=DAY(EOMONTH(DATE(YEAR(TODAY()),MONTH(DATEVALUE("1-"&amp;A1)),1),0)),IF(WEEKDAY(DATE(YEAR(TODAY()),MONTH(DATEVALUE("1-"&amp;$A$1)),ROW(A2)),2)=7,"",DATE(YEAR(TODAY()),MONTH(DATEVALUE("1-"&amp;$A$1)),ROW(A2))),"")</f>
        <v>46024</v>
      </c>
      <c r="B3" s="2">
        <f t="shared" ref="B3:B32" ca="1" si="0">IF(ROW(B2)&lt;=DAY(EOMONTH(DATE(YEAR(TODAY()),MONTH(DATEVALUE("1-"&amp;$B$1)),1),0)),IF(WEEKDAY(DATE(YEAR(TODAY()),MONTH(DATEVALUE("1-"&amp;$B$1)),ROW(B2)),2)=7,"",DATE(YEAR(TODAY()),MONTH(DATEVALUE("1-"&amp;$B$1)),ROW(B2))),"")</f>
        <v>46055</v>
      </c>
      <c r="C3" s="2">
        <f t="shared" ref="C3:C32" ca="1" si="1">IF(ROW(C2)&lt;=DAY(EOMONTH(DATE(YEAR(TODAY()),MONTH(DATEVALUE("1-"&amp;$C$1)),1),0)),IF(WEEKDAY(DATE(YEAR(TODAY()),MONTH(DATEVALUE("1-"&amp;$C$1)),ROW(C2)),2)=7,"",DATE(YEAR(TODAY()),MONTH(DATEVALUE("1-"&amp;$C$1)),ROW(C2))),"")</f>
        <v>46083</v>
      </c>
      <c r="D3" s="2">
        <f t="shared" ref="D3:D32" ca="1" si="2">IF(ROW(D2)&lt;=DAY(EOMONTH(DATE(YEAR(TODAY()),MONTH(DATEVALUE("1-"&amp;$D$1)),1),0)),IF(WEEKDAY(DATE(YEAR(TODAY()),MONTH(DATEVALUE("1-"&amp;$D$1)),ROW(D2)),2)=7,"",DATE(YEAR(TODAY()),MONTH(DATEVALUE("1-"&amp;$D$1)),ROW(D2))),"")</f>
        <v>46114</v>
      </c>
      <c r="E3" s="2">
        <f t="shared" ref="E3:E32" ca="1" si="3">IF(ROW(E2)&lt;=DAY(EOMONTH(DATE(YEAR(TODAY()),MONTH(DATEVALUE("1-"&amp;$E$1)),1),0)),IF(WEEKDAY(DATE(YEAR(TODAY()),MONTH(DATEVALUE("1-"&amp;$E$1)),ROW(E2)),2)=7,"",DATE(YEAR(TODAY()),MONTH(DATEVALUE("1-"&amp;$E$1)),ROW(E2))),"")</f>
        <v>46144</v>
      </c>
      <c r="F3" s="2">
        <f t="shared" ref="F3:F32" ca="1" si="4">IF(ROW(F2)&lt;=DAY(EOMONTH(DATE(YEAR(TODAY()),MONTH(DATEVALUE("1-"&amp;$F$1)),1),0)),IF(WEEKDAY(DATE(YEAR(TODAY()),MONTH(DATEVALUE("1-"&amp;$F$1)),ROW(F2)),2)=7,"",DATE(YEAR(TODAY()),MONTH(DATEVALUE("1-"&amp;$F$1)),ROW(F2))),"")</f>
        <v>46175</v>
      </c>
      <c r="G3" s="2">
        <f t="shared" ref="G3:G32" ca="1" si="5">IF(ROW(G2)&lt;=DAY(EOMONTH(DATE(YEAR(TODAY()),MONTH(DATEVALUE("1-"&amp;$G$1)),1),0)),IF(WEEKDAY(DATE(YEAR(TODAY()),MONTH(DATEVALUE("1-"&amp;$G$1)),ROW(G2)),2)=7,"",DATE(YEAR(TODAY()),MONTH(DATEVALUE("1-"&amp;$G$1)),ROW(G2))),"")</f>
        <v>46205</v>
      </c>
      <c r="H3" s="2" t="str">
        <f t="shared" ref="H3:H32" ca="1" si="6">IF(ROW(H2)&lt;=DAY(EOMONTH(DATE(YEAR(TODAY()),MONTH(DATEVALUE("1-"&amp;$H$1)),1),0)),IF(WEEKDAY(DATE(YEAR(TODAY()),MONTH(DATEVALUE("1-"&amp;$H$1)),ROW(H2)),2)=7,"",DATE(YEAR(TODAY()),MONTH(DATEVALUE("1-"&amp;$H$1)),ROW(H2))),"")</f>
        <v/>
      </c>
      <c r="I3" s="2">
        <f t="shared" ref="I3:I32" ca="1" si="7">IF(ROW(I2)&lt;=DAY(EOMONTH(DATE(YEAR(TODAY()),MONTH(DATEVALUE("1-"&amp;$I$1)),1),0)),IF(WEEKDAY(DATE(YEAR(TODAY()),MONTH(DATEVALUE("1-"&amp;$I$1)),ROW(I2)),2)=7,"",DATE(YEAR(TODAY()),MONTH(DATEVALUE("1-"&amp;$I$1)),ROW(I2))),"")</f>
        <v>46267</v>
      </c>
      <c r="J3" s="2">
        <f t="shared" ref="J3:J32" ca="1" si="8">IF(ROW(J2)&lt;=DAY(EOMONTH(DATE(YEAR(TODAY()),MONTH(DATEVALUE("1-"&amp;$J$1)),1),0)),IF(WEEKDAY(DATE(YEAR(TODAY()),MONTH(DATEVALUE("1-"&amp;$J$1)),ROW(J2)),2)=7,"",DATE(YEAR(TODAY()),MONTH(DATEVALUE("1-"&amp;$J$1)),ROW(J2))),"")</f>
        <v>46297</v>
      </c>
      <c r="K3" s="2">
        <f t="shared" ref="K3:K32" ca="1" si="9">IF(ROW(K2)&lt;=DAY(EOMONTH(DATE(YEAR(TODAY()),MONTH(DATEVALUE("1-"&amp;$K$1)),1),0)),IF(WEEKDAY(DATE(YEAR(TODAY()),MONTH(DATEVALUE("1-"&amp;$K$1)),ROW(K2)),2)=7,"",DATE(YEAR(TODAY()),MONTH(DATEVALUE("1-"&amp;$K$1)),ROW(K2))),"")</f>
        <v>46328</v>
      </c>
      <c r="L3" s="4">
        <f t="shared" ref="L3:L32" ca="1" si="10">IF(ROW(L2)&lt;=DAY(EOMONTH(DATE(YEAR(TODAY()),MONTH(DATEVALUE("1-"&amp;$L$1)),1),0)),IF(WEEKDAY(DATE(YEAR(TODAY()),MONTH(DATEVALUE("1-"&amp;$L$1)),ROW(L2)),2)=7,"",DATE(YEAR(TODAY()),MONTH(DATEVALUE("1-"&amp;$L$1)),ROW(L2))),"")</f>
        <v>46358</v>
      </c>
    </row>
    <row r="4" spans="1:12" x14ac:dyDescent="0.3">
      <c r="A4" s="3">
        <f t="shared" ref="A4:A39" ca="1" si="11">IF(ROW(A3)&lt;=DAY(EOMONTH(DATE(YEAR(TODAY()),MONTH(DATEVALUE("1-"&amp;$A$1)),1),0)),IF(WEEKDAY(DATE(YEAR(TODAY()),MONTH(DATEVALUE("1-"&amp;$A$1)),ROW(A3)),2)=7,"",DATE(YEAR(TODAY()),MONTH(DATEVALUE("1-"&amp;$A$1)),ROW(A3))),"")</f>
        <v>46025</v>
      </c>
      <c r="B4" s="2">
        <f t="shared" ca="1" si="0"/>
        <v>46056</v>
      </c>
      <c r="C4" s="2">
        <f t="shared" ca="1" si="1"/>
        <v>46084</v>
      </c>
      <c r="D4" s="2">
        <f t="shared" ca="1" si="2"/>
        <v>46115</v>
      </c>
      <c r="E4" s="2" t="str">
        <f t="shared" ca="1" si="3"/>
        <v/>
      </c>
      <c r="F4" s="2">
        <f t="shared" ca="1" si="4"/>
        <v>46176</v>
      </c>
      <c r="G4" s="2">
        <f t="shared" ca="1" si="5"/>
        <v>46206</v>
      </c>
      <c r="H4" s="2">
        <f t="shared" ca="1" si="6"/>
        <v>46237</v>
      </c>
      <c r="I4" s="2">
        <f t="shared" ca="1" si="7"/>
        <v>46268</v>
      </c>
      <c r="J4" s="2">
        <f t="shared" ca="1" si="8"/>
        <v>46298</v>
      </c>
      <c r="K4" s="2">
        <f t="shared" ca="1" si="9"/>
        <v>46329</v>
      </c>
      <c r="L4" s="4">
        <f t="shared" ca="1" si="10"/>
        <v>46359</v>
      </c>
    </row>
    <row r="5" spans="1:12" x14ac:dyDescent="0.3">
      <c r="A5" s="3" t="str">
        <f t="shared" ca="1" si="11"/>
        <v/>
      </c>
      <c r="B5" s="2">
        <f t="shared" ca="1" si="0"/>
        <v>46057</v>
      </c>
      <c r="C5" s="2">
        <f t="shared" ca="1" si="1"/>
        <v>46085</v>
      </c>
      <c r="D5" s="2">
        <f t="shared" ca="1" si="2"/>
        <v>46116</v>
      </c>
      <c r="E5" s="2">
        <f t="shared" ca="1" si="3"/>
        <v>46146</v>
      </c>
      <c r="F5" s="2">
        <f t="shared" ca="1" si="4"/>
        <v>46177</v>
      </c>
      <c r="G5" s="2">
        <f t="shared" ca="1" si="5"/>
        <v>46207</v>
      </c>
      <c r="H5" s="2">
        <f t="shared" ca="1" si="6"/>
        <v>46238</v>
      </c>
      <c r="I5" s="2">
        <f t="shared" ca="1" si="7"/>
        <v>46269</v>
      </c>
      <c r="J5" s="2" t="str">
        <f t="shared" ca="1" si="8"/>
        <v/>
      </c>
      <c r="K5" s="2">
        <f t="shared" ca="1" si="9"/>
        <v>46330</v>
      </c>
      <c r="L5" s="4">
        <f t="shared" ca="1" si="10"/>
        <v>46360</v>
      </c>
    </row>
    <row r="6" spans="1:12" x14ac:dyDescent="0.3">
      <c r="A6" s="3">
        <f t="shared" ca="1" si="11"/>
        <v>46027</v>
      </c>
      <c r="B6" s="2">
        <f t="shared" ca="1" si="0"/>
        <v>46058</v>
      </c>
      <c r="C6" s="2">
        <f t="shared" ca="1" si="1"/>
        <v>46086</v>
      </c>
      <c r="D6" s="2" t="str">
        <f t="shared" ca="1" si="2"/>
        <v/>
      </c>
      <c r="E6" s="2">
        <f t="shared" ca="1" si="3"/>
        <v>46147</v>
      </c>
      <c r="F6" s="2">
        <f t="shared" ca="1" si="4"/>
        <v>46178</v>
      </c>
      <c r="G6" s="2" t="str">
        <f t="shared" ca="1" si="5"/>
        <v/>
      </c>
      <c r="H6" s="2">
        <f t="shared" ca="1" si="6"/>
        <v>46239</v>
      </c>
      <c r="I6" s="2">
        <f t="shared" ca="1" si="7"/>
        <v>46270</v>
      </c>
      <c r="J6" s="2">
        <f t="shared" ca="1" si="8"/>
        <v>46300</v>
      </c>
      <c r="K6" s="2">
        <f t="shared" ca="1" si="9"/>
        <v>46331</v>
      </c>
      <c r="L6" s="4">
        <f t="shared" ca="1" si="10"/>
        <v>46361</v>
      </c>
    </row>
    <row r="7" spans="1:12" x14ac:dyDescent="0.3">
      <c r="A7" s="3">
        <f t="shared" ca="1" si="11"/>
        <v>46028</v>
      </c>
      <c r="B7" s="2">
        <f t="shared" ca="1" si="0"/>
        <v>46059</v>
      </c>
      <c r="C7" s="2">
        <f t="shared" ca="1" si="1"/>
        <v>46087</v>
      </c>
      <c r="D7" s="2">
        <f t="shared" ca="1" si="2"/>
        <v>46118</v>
      </c>
      <c r="E7" s="2">
        <f t="shared" ca="1" si="3"/>
        <v>46148</v>
      </c>
      <c r="F7" s="2">
        <f t="shared" ca="1" si="4"/>
        <v>46179</v>
      </c>
      <c r="G7" s="2">
        <f t="shared" ca="1" si="5"/>
        <v>46209</v>
      </c>
      <c r="H7" s="2">
        <f t="shared" ca="1" si="6"/>
        <v>46240</v>
      </c>
      <c r="I7" s="2" t="str">
        <f t="shared" ca="1" si="7"/>
        <v/>
      </c>
      <c r="J7" s="2">
        <f t="shared" ca="1" si="8"/>
        <v>46301</v>
      </c>
      <c r="K7" s="2">
        <f t="shared" ca="1" si="9"/>
        <v>46332</v>
      </c>
      <c r="L7" s="4" t="str">
        <f t="shared" ca="1" si="10"/>
        <v/>
      </c>
    </row>
    <row r="8" spans="1:12" x14ac:dyDescent="0.3">
      <c r="A8" s="3">
        <f t="shared" ca="1" si="11"/>
        <v>46029</v>
      </c>
      <c r="B8" s="2">
        <f t="shared" ca="1" si="0"/>
        <v>46060</v>
      </c>
      <c r="C8" s="2">
        <f t="shared" ca="1" si="1"/>
        <v>46088</v>
      </c>
      <c r="D8" s="2">
        <f t="shared" ca="1" si="2"/>
        <v>46119</v>
      </c>
      <c r="E8" s="2">
        <f t="shared" ca="1" si="3"/>
        <v>46149</v>
      </c>
      <c r="F8" s="2" t="str">
        <f t="shared" ca="1" si="4"/>
        <v/>
      </c>
      <c r="G8" s="2">
        <f t="shared" ca="1" si="5"/>
        <v>46210</v>
      </c>
      <c r="H8" s="2">
        <f t="shared" ca="1" si="6"/>
        <v>46241</v>
      </c>
      <c r="I8" s="2">
        <f t="shared" ca="1" si="7"/>
        <v>46272</v>
      </c>
      <c r="J8" s="2">
        <f t="shared" ca="1" si="8"/>
        <v>46302</v>
      </c>
      <c r="K8" s="2">
        <f t="shared" ca="1" si="9"/>
        <v>46333</v>
      </c>
      <c r="L8" s="4">
        <f t="shared" ca="1" si="10"/>
        <v>46363</v>
      </c>
    </row>
    <row r="9" spans="1:12" x14ac:dyDescent="0.3">
      <c r="A9" s="3">
        <f t="shared" ca="1" si="11"/>
        <v>46030</v>
      </c>
      <c r="B9" s="2" t="str">
        <f t="shared" ca="1" si="0"/>
        <v/>
      </c>
      <c r="C9" s="2" t="str">
        <f t="shared" ca="1" si="1"/>
        <v/>
      </c>
      <c r="D9" s="2">
        <f t="shared" ca="1" si="2"/>
        <v>46120</v>
      </c>
      <c r="E9" s="2">
        <f t="shared" ca="1" si="3"/>
        <v>46150</v>
      </c>
      <c r="F9" s="2">
        <f t="shared" ca="1" si="4"/>
        <v>46181</v>
      </c>
      <c r="G9" s="2">
        <f t="shared" ca="1" si="5"/>
        <v>46211</v>
      </c>
      <c r="H9" s="2">
        <f t="shared" ca="1" si="6"/>
        <v>46242</v>
      </c>
      <c r="I9" s="2">
        <f t="shared" ca="1" si="7"/>
        <v>46273</v>
      </c>
      <c r="J9" s="2">
        <f t="shared" ca="1" si="8"/>
        <v>46303</v>
      </c>
      <c r="K9" s="2" t="str">
        <f t="shared" ca="1" si="9"/>
        <v/>
      </c>
      <c r="L9" s="4">
        <f t="shared" ca="1" si="10"/>
        <v>46364</v>
      </c>
    </row>
    <row r="10" spans="1:12" x14ac:dyDescent="0.3">
      <c r="A10" s="3">
        <f t="shared" ca="1" si="11"/>
        <v>46031</v>
      </c>
      <c r="B10" s="2">
        <f t="shared" ca="1" si="0"/>
        <v>46062</v>
      </c>
      <c r="C10" s="2">
        <f t="shared" ca="1" si="1"/>
        <v>46090</v>
      </c>
      <c r="D10" s="2">
        <f t="shared" ca="1" si="2"/>
        <v>46121</v>
      </c>
      <c r="E10" s="2">
        <f t="shared" ca="1" si="3"/>
        <v>46151</v>
      </c>
      <c r="F10" s="2">
        <f t="shared" ca="1" si="4"/>
        <v>46182</v>
      </c>
      <c r="G10" s="2">
        <f t="shared" ca="1" si="5"/>
        <v>46212</v>
      </c>
      <c r="H10" s="2" t="str">
        <f t="shared" ca="1" si="6"/>
        <v/>
      </c>
      <c r="I10" s="2">
        <f t="shared" ca="1" si="7"/>
        <v>46274</v>
      </c>
      <c r="J10" s="2">
        <f t="shared" ca="1" si="8"/>
        <v>46304</v>
      </c>
      <c r="K10" s="2">
        <f t="shared" ca="1" si="9"/>
        <v>46335</v>
      </c>
      <c r="L10" s="4">
        <f t="shared" ca="1" si="10"/>
        <v>46365</v>
      </c>
    </row>
    <row r="11" spans="1:12" x14ac:dyDescent="0.3">
      <c r="A11" s="3">
        <f t="shared" ca="1" si="11"/>
        <v>46032</v>
      </c>
      <c r="B11" s="2">
        <f t="shared" ca="1" si="0"/>
        <v>46063</v>
      </c>
      <c r="C11" s="2">
        <f t="shared" ca="1" si="1"/>
        <v>46091</v>
      </c>
      <c r="D11" s="2">
        <f t="shared" ca="1" si="2"/>
        <v>46122</v>
      </c>
      <c r="E11" s="2" t="str">
        <f t="shared" ca="1" si="3"/>
        <v/>
      </c>
      <c r="F11" s="2">
        <f t="shared" ca="1" si="4"/>
        <v>46183</v>
      </c>
      <c r="G11" s="2">
        <f t="shared" ca="1" si="5"/>
        <v>46213</v>
      </c>
      <c r="H11" s="2">
        <f t="shared" ca="1" si="6"/>
        <v>46244</v>
      </c>
      <c r="I11" s="2">
        <f t="shared" ca="1" si="7"/>
        <v>46275</v>
      </c>
      <c r="J11" s="2">
        <f t="shared" ca="1" si="8"/>
        <v>46305</v>
      </c>
      <c r="K11" s="2">
        <f t="shared" ca="1" si="9"/>
        <v>46336</v>
      </c>
      <c r="L11" s="4">
        <f t="shared" ca="1" si="10"/>
        <v>46366</v>
      </c>
    </row>
    <row r="12" spans="1:12" x14ac:dyDescent="0.3">
      <c r="A12" s="3" t="str">
        <f t="shared" ca="1" si="11"/>
        <v/>
      </c>
      <c r="B12" s="2">
        <f t="shared" ca="1" si="0"/>
        <v>46064</v>
      </c>
      <c r="C12" s="2">
        <f t="shared" ca="1" si="1"/>
        <v>46092</v>
      </c>
      <c r="D12" s="2">
        <f t="shared" ca="1" si="2"/>
        <v>46123</v>
      </c>
      <c r="E12" s="2">
        <f t="shared" ca="1" si="3"/>
        <v>46153</v>
      </c>
      <c r="F12" s="2">
        <f t="shared" ca="1" si="4"/>
        <v>46184</v>
      </c>
      <c r="G12" s="2">
        <f t="shared" ca="1" si="5"/>
        <v>46214</v>
      </c>
      <c r="H12" s="2">
        <f t="shared" ca="1" si="6"/>
        <v>46245</v>
      </c>
      <c r="I12" s="2">
        <f t="shared" ca="1" si="7"/>
        <v>46276</v>
      </c>
      <c r="J12" s="2" t="str">
        <f t="shared" ca="1" si="8"/>
        <v/>
      </c>
      <c r="K12" s="2">
        <f t="shared" ca="1" si="9"/>
        <v>46337</v>
      </c>
      <c r="L12" s="4">
        <f t="shared" ca="1" si="10"/>
        <v>46367</v>
      </c>
    </row>
    <row r="13" spans="1:12" x14ac:dyDescent="0.3">
      <c r="A13" s="3">
        <f t="shared" ca="1" si="11"/>
        <v>46034</v>
      </c>
      <c r="B13" s="2">
        <f t="shared" ca="1" si="0"/>
        <v>46065</v>
      </c>
      <c r="C13" s="2">
        <f t="shared" ca="1" si="1"/>
        <v>46093</v>
      </c>
      <c r="D13" s="2" t="str">
        <f t="shared" ca="1" si="2"/>
        <v/>
      </c>
      <c r="E13" s="2">
        <f t="shared" ca="1" si="3"/>
        <v>46154</v>
      </c>
      <c r="F13" s="2">
        <f t="shared" ca="1" si="4"/>
        <v>46185</v>
      </c>
      <c r="G13" s="2" t="str">
        <f t="shared" ca="1" si="5"/>
        <v/>
      </c>
      <c r="H13" s="2">
        <f t="shared" ca="1" si="6"/>
        <v>46246</v>
      </c>
      <c r="I13" s="2">
        <f t="shared" ca="1" si="7"/>
        <v>46277</v>
      </c>
      <c r="J13" s="2">
        <f t="shared" ca="1" si="8"/>
        <v>46307</v>
      </c>
      <c r="K13" s="2">
        <f t="shared" ca="1" si="9"/>
        <v>46338</v>
      </c>
      <c r="L13" s="4">
        <f t="shared" ca="1" si="10"/>
        <v>46368</v>
      </c>
    </row>
    <row r="14" spans="1:12" x14ac:dyDescent="0.3">
      <c r="A14" s="3">
        <f t="shared" ca="1" si="11"/>
        <v>46035</v>
      </c>
      <c r="B14" s="2">
        <f t="shared" ca="1" si="0"/>
        <v>46066</v>
      </c>
      <c r="C14" s="2">
        <f t="shared" ca="1" si="1"/>
        <v>46094</v>
      </c>
      <c r="D14" s="2">
        <f t="shared" ca="1" si="2"/>
        <v>46125</v>
      </c>
      <c r="E14" s="2">
        <f t="shared" ca="1" si="3"/>
        <v>46155</v>
      </c>
      <c r="F14" s="2">
        <f t="shared" ca="1" si="4"/>
        <v>46186</v>
      </c>
      <c r="G14" s="2">
        <f t="shared" ca="1" si="5"/>
        <v>46216</v>
      </c>
      <c r="H14" s="2">
        <f t="shared" ca="1" si="6"/>
        <v>46247</v>
      </c>
      <c r="I14" s="2" t="str">
        <f t="shared" ca="1" si="7"/>
        <v/>
      </c>
      <c r="J14" s="2">
        <f t="shared" ca="1" si="8"/>
        <v>46308</v>
      </c>
      <c r="K14" s="2">
        <f t="shared" ca="1" si="9"/>
        <v>46339</v>
      </c>
      <c r="L14" s="4" t="str">
        <f t="shared" ca="1" si="10"/>
        <v/>
      </c>
    </row>
    <row r="15" spans="1:12" x14ac:dyDescent="0.3">
      <c r="A15" s="3">
        <f t="shared" ca="1" si="11"/>
        <v>46036</v>
      </c>
      <c r="B15" s="2">
        <f t="shared" ca="1" si="0"/>
        <v>46067</v>
      </c>
      <c r="C15" s="2">
        <f t="shared" ca="1" si="1"/>
        <v>46095</v>
      </c>
      <c r="D15" s="2">
        <f t="shared" ca="1" si="2"/>
        <v>46126</v>
      </c>
      <c r="E15" s="2">
        <f t="shared" ca="1" si="3"/>
        <v>46156</v>
      </c>
      <c r="F15" s="2" t="str">
        <f t="shared" ca="1" si="4"/>
        <v/>
      </c>
      <c r="G15" s="2">
        <f t="shared" ca="1" si="5"/>
        <v>46217</v>
      </c>
      <c r="H15" s="2">
        <f t="shared" ca="1" si="6"/>
        <v>46248</v>
      </c>
      <c r="I15" s="2">
        <f t="shared" ca="1" si="7"/>
        <v>46279</v>
      </c>
      <c r="J15" s="2">
        <f t="shared" ca="1" si="8"/>
        <v>46309</v>
      </c>
      <c r="K15" s="2">
        <f t="shared" ca="1" si="9"/>
        <v>46340</v>
      </c>
      <c r="L15" s="4">
        <f t="shared" ca="1" si="10"/>
        <v>46370</v>
      </c>
    </row>
    <row r="16" spans="1:12" x14ac:dyDescent="0.3">
      <c r="A16" s="3">
        <f t="shared" ca="1" si="11"/>
        <v>46037</v>
      </c>
      <c r="B16" s="2" t="str">
        <f t="shared" ca="1" si="0"/>
        <v/>
      </c>
      <c r="C16" s="2" t="str">
        <f t="shared" ca="1" si="1"/>
        <v/>
      </c>
      <c r="D16" s="2">
        <f t="shared" ca="1" si="2"/>
        <v>46127</v>
      </c>
      <c r="E16" s="2">
        <f t="shared" ca="1" si="3"/>
        <v>46157</v>
      </c>
      <c r="F16" s="2">
        <f t="shared" ca="1" si="4"/>
        <v>46188</v>
      </c>
      <c r="G16" s="2">
        <f t="shared" ca="1" si="5"/>
        <v>46218</v>
      </c>
      <c r="H16" s="2">
        <f t="shared" ca="1" si="6"/>
        <v>46249</v>
      </c>
      <c r="I16" s="2">
        <f t="shared" ca="1" si="7"/>
        <v>46280</v>
      </c>
      <c r="J16" s="2">
        <f t="shared" ca="1" si="8"/>
        <v>46310</v>
      </c>
      <c r="K16" s="2" t="str">
        <f t="shared" ca="1" si="9"/>
        <v/>
      </c>
      <c r="L16" s="4">
        <f t="shared" ca="1" si="10"/>
        <v>46371</v>
      </c>
    </row>
    <row r="17" spans="1:12" x14ac:dyDescent="0.3">
      <c r="A17" s="3">
        <f t="shared" ca="1" si="11"/>
        <v>46038</v>
      </c>
      <c r="B17" s="2">
        <f t="shared" ca="1" si="0"/>
        <v>46069</v>
      </c>
      <c r="C17" s="2">
        <f t="shared" ca="1" si="1"/>
        <v>46097</v>
      </c>
      <c r="D17" s="2">
        <f t="shared" ca="1" si="2"/>
        <v>46128</v>
      </c>
      <c r="E17" s="2">
        <f t="shared" ca="1" si="3"/>
        <v>46158</v>
      </c>
      <c r="F17" s="2">
        <f t="shared" ca="1" si="4"/>
        <v>46189</v>
      </c>
      <c r="G17" s="2">
        <f t="shared" ca="1" si="5"/>
        <v>46219</v>
      </c>
      <c r="H17" s="2" t="str">
        <f t="shared" ca="1" si="6"/>
        <v/>
      </c>
      <c r="I17" s="2">
        <f t="shared" ca="1" si="7"/>
        <v>46281</v>
      </c>
      <c r="J17" s="2">
        <f t="shared" ca="1" si="8"/>
        <v>46311</v>
      </c>
      <c r="K17" s="2">
        <f t="shared" ca="1" si="9"/>
        <v>46342</v>
      </c>
      <c r="L17" s="4">
        <f t="shared" ca="1" si="10"/>
        <v>46372</v>
      </c>
    </row>
    <row r="18" spans="1:12" x14ac:dyDescent="0.3">
      <c r="A18" s="3">
        <f t="shared" ca="1" si="11"/>
        <v>46039</v>
      </c>
      <c r="B18" s="2">
        <f t="shared" ca="1" si="0"/>
        <v>46070</v>
      </c>
      <c r="C18" s="2">
        <f t="shared" ca="1" si="1"/>
        <v>46098</v>
      </c>
      <c r="D18" s="2">
        <f t="shared" ca="1" si="2"/>
        <v>46129</v>
      </c>
      <c r="E18" s="2" t="str">
        <f t="shared" ca="1" si="3"/>
        <v/>
      </c>
      <c r="F18" s="2">
        <f t="shared" ca="1" si="4"/>
        <v>46190</v>
      </c>
      <c r="G18" s="2">
        <f t="shared" ca="1" si="5"/>
        <v>46220</v>
      </c>
      <c r="H18" s="2">
        <f t="shared" ca="1" si="6"/>
        <v>46251</v>
      </c>
      <c r="I18" s="2">
        <f t="shared" ca="1" si="7"/>
        <v>46282</v>
      </c>
      <c r="J18" s="2">
        <f t="shared" ca="1" si="8"/>
        <v>46312</v>
      </c>
      <c r="K18" s="2">
        <f t="shared" ca="1" si="9"/>
        <v>46343</v>
      </c>
      <c r="L18" s="4">
        <f t="shared" ca="1" si="10"/>
        <v>46373</v>
      </c>
    </row>
    <row r="19" spans="1:12" x14ac:dyDescent="0.3">
      <c r="A19" s="3" t="str">
        <f t="shared" ca="1" si="11"/>
        <v/>
      </c>
      <c r="B19" s="2">
        <f t="shared" ca="1" si="0"/>
        <v>46071</v>
      </c>
      <c r="C19" s="2">
        <f t="shared" ca="1" si="1"/>
        <v>46099</v>
      </c>
      <c r="D19" s="2">
        <f t="shared" ca="1" si="2"/>
        <v>46130</v>
      </c>
      <c r="E19" s="2">
        <f t="shared" ca="1" si="3"/>
        <v>46160</v>
      </c>
      <c r="F19" s="2">
        <f t="shared" ca="1" si="4"/>
        <v>46191</v>
      </c>
      <c r="G19" s="2">
        <f t="shared" ca="1" si="5"/>
        <v>46221</v>
      </c>
      <c r="H19" s="2">
        <f t="shared" ca="1" si="6"/>
        <v>46252</v>
      </c>
      <c r="I19" s="2">
        <f t="shared" ca="1" si="7"/>
        <v>46283</v>
      </c>
      <c r="J19" s="2" t="str">
        <f t="shared" ca="1" si="8"/>
        <v/>
      </c>
      <c r="K19" s="2">
        <f t="shared" ca="1" si="9"/>
        <v>46344</v>
      </c>
      <c r="L19" s="4">
        <f t="shared" ca="1" si="10"/>
        <v>46374</v>
      </c>
    </row>
    <row r="20" spans="1:12" x14ac:dyDescent="0.3">
      <c r="A20" s="3">
        <f t="shared" ca="1" si="11"/>
        <v>46041</v>
      </c>
      <c r="B20" s="2">
        <f t="shared" ca="1" si="0"/>
        <v>46072</v>
      </c>
      <c r="C20" s="2">
        <f t="shared" ca="1" si="1"/>
        <v>46100</v>
      </c>
      <c r="D20" s="2" t="str">
        <f t="shared" ca="1" si="2"/>
        <v/>
      </c>
      <c r="E20" s="2">
        <f t="shared" ca="1" si="3"/>
        <v>46161</v>
      </c>
      <c r="F20" s="2">
        <f t="shared" ca="1" si="4"/>
        <v>46192</v>
      </c>
      <c r="G20" s="2" t="str">
        <f t="shared" ca="1" si="5"/>
        <v/>
      </c>
      <c r="H20" s="2">
        <f t="shared" ca="1" si="6"/>
        <v>46253</v>
      </c>
      <c r="I20" s="2">
        <f t="shared" ca="1" si="7"/>
        <v>46284</v>
      </c>
      <c r="J20" s="2">
        <f t="shared" ca="1" si="8"/>
        <v>46314</v>
      </c>
      <c r="K20" s="2">
        <f t="shared" ca="1" si="9"/>
        <v>46345</v>
      </c>
      <c r="L20" s="4">
        <f t="shared" ca="1" si="10"/>
        <v>46375</v>
      </c>
    </row>
    <row r="21" spans="1:12" x14ac:dyDescent="0.3">
      <c r="A21" s="3">
        <f t="shared" ca="1" si="11"/>
        <v>46042</v>
      </c>
      <c r="B21" s="2">
        <f t="shared" ca="1" si="0"/>
        <v>46073</v>
      </c>
      <c r="C21" s="2">
        <f t="shared" ca="1" si="1"/>
        <v>46101</v>
      </c>
      <c r="D21" s="2">
        <f t="shared" ca="1" si="2"/>
        <v>46132</v>
      </c>
      <c r="E21" s="2">
        <f t="shared" ca="1" si="3"/>
        <v>46162</v>
      </c>
      <c r="F21" s="2">
        <f t="shared" ca="1" si="4"/>
        <v>46193</v>
      </c>
      <c r="G21" s="2">
        <f t="shared" ca="1" si="5"/>
        <v>46223</v>
      </c>
      <c r="H21" s="2">
        <f t="shared" ca="1" si="6"/>
        <v>46254</v>
      </c>
      <c r="I21" s="2" t="str">
        <f t="shared" ca="1" si="7"/>
        <v/>
      </c>
      <c r="J21" s="2">
        <f t="shared" ca="1" si="8"/>
        <v>46315</v>
      </c>
      <c r="K21" s="2">
        <f t="shared" ca="1" si="9"/>
        <v>46346</v>
      </c>
      <c r="L21" s="4" t="str">
        <f t="shared" ca="1" si="10"/>
        <v/>
      </c>
    </row>
    <row r="22" spans="1:12" x14ac:dyDescent="0.3">
      <c r="A22" s="3">
        <f t="shared" ca="1" si="11"/>
        <v>46043</v>
      </c>
      <c r="B22" s="2">
        <f t="shared" ca="1" si="0"/>
        <v>46074</v>
      </c>
      <c r="C22" s="2">
        <f t="shared" ca="1" si="1"/>
        <v>46102</v>
      </c>
      <c r="D22" s="2">
        <f t="shared" ca="1" si="2"/>
        <v>46133</v>
      </c>
      <c r="E22" s="2">
        <f t="shared" ca="1" si="3"/>
        <v>46163</v>
      </c>
      <c r="F22" s="2" t="str">
        <f t="shared" ca="1" si="4"/>
        <v/>
      </c>
      <c r="G22" s="2">
        <f t="shared" ca="1" si="5"/>
        <v>46224</v>
      </c>
      <c r="H22" s="2">
        <f t="shared" ca="1" si="6"/>
        <v>46255</v>
      </c>
      <c r="I22" s="2">
        <f t="shared" ca="1" si="7"/>
        <v>46286</v>
      </c>
      <c r="J22" s="2">
        <f t="shared" ca="1" si="8"/>
        <v>46316</v>
      </c>
      <c r="K22" s="2">
        <f t="shared" ca="1" si="9"/>
        <v>46347</v>
      </c>
      <c r="L22" s="4">
        <f t="shared" ca="1" si="10"/>
        <v>46377</v>
      </c>
    </row>
    <row r="23" spans="1:12" x14ac:dyDescent="0.3">
      <c r="A23" s="3">
        <f t="shared" ca="1" si="11"/>
        <v>46044</v>
      </c>
      <c r="B23" s="2" t="str">
        <f t="shared" ca="1" si="0"/>
        <v/>
      </c>
      <c r="C23" s="2" t="str">
        <f t="shared" ca="1" si="1"/>
        <v/>
      </c>
      <c r="D23" s="2">
        <f t="shared" ca="1" si="2"/>
        <v>46134</v>
      </c>
      <c r="E23" s="2">
        <f t="shared" ca="1" si="3"/>
        <v>46164</v>
      </c>
      <c r="F23" s="2">
        <f t="shared" ca="1" si="4"/>
        <v>46195</v>
      </c>
      <c r="G23" s="2">
        <f t="shared" ca="1" si="5"/>
        <v>46225</v>
      </c>
      <c r="H23" s="2">
        <f t="shared" ca="1" si="6"/>
        <v>46256</v>
      </c>
      <c r="I23" s="2">
        <f t="shared" ca="1" si="7"/>
        <v>46287</v>
      </c>
      <c r="J23" s="2">
        <f t="shared" ca="1" si="8"/>
        <v>46317</v>
      </c>
      <c r="K23" s="2" t="str">
        <f t="shared" ca="1" si="9"/>
        <v/>
      </c>
      <c r="L23" s="4">
        <f t="shared" ca="1" si="10"/>
        <v>46378</v>
      </c>
    </row>
    <row r="24" spans="1:12" x14ac:dyDescent="0.3">
      <c r="A24" s="3">
        <f t="shared" ca="1" si="11"/>
        <v>46045</v>
      </c>
      <c r="B24" s="2">
        <f t="shared" ca="1" si="0"/>
        <v>46076</v>
      </c>
      <c r="C24" s="2">
        <f t="shared" ca="1" si="1"/>
        <v>46104</v>
      </c>
      <c r="D24" s="2">
        <f t="shared" ca="1" si="2"/>
        <v>46135</v>
      </c>
      <c r="E24" s="2">
        <f t="shared" ca="1" si="3"/>
        <v>46165</v>
      </c>
      <c r="F24" s="2">
        <f t="shared" ca="1" si="4"/>
        <v>46196</v>
      </c>
      <c r="G24" s="2">
        <f t="shared" ca="1" si="5"/>
        <v>46226</v>
      </c>
      <c r="H24" s="2" t="str">
        <f t="shared" ca="1" si="6"/>
        <v/>
      </c>
      <c r="I24" s="2">
        <f t="shared" ca="1" si="7"/>
        <v>46288</v>
      </c>
      <c r="J24" s="2">
        <f t="shared" ca="1" si="8"/>
        <v>46318</v>
      </c>
      <c r="K24" s="2">
        <f t="shared" ca="1" si="9"/>
        <v>46349</v>
      </c>
      <c r="L24" s="4">
        <f t="shared" ca="1" si="10"/>
        <v>46379</v>
      </c>
    </row>
    <row r="25" spans="1:12" x14ac:dyDescent="0.3">
      <c r="A25" s="3">
        <f t="shared" ca="1" si="11"/>
        <v>46046</v>
      </c>
      <c r="B25" s="2">
        <f t="shared" ca="1" si="0"/>
        <v>46077</v>
      </c>
      <c r="C25" s="2">
        <f t="shared" ca="1" si="1"/>
        <v>46105</v>
      </c>
      <c r="D25" s="2">
        <f t="shared" ca="1" si="2"/>
        <v>46136</v>
      </c>
      <c r="E25" s="2" t="str">
        <f t="shared" ca="1" si="3"/>
        <v/>
      </c>
      <c r="F25" s="2">
        <f t="shared" ca="1" si="4"/>
        <v>46197</v>
      </c>
      <c r="G25" s="2">
        <f t="shared" ca="1" si="5"/>
        <v>46227</v>
      </c>
      <c r="H25" s="2">
        <f t="shared" ca="1" si="6"/>
        <v>46258</v>
      </c>
      <c r="I25" s="2">
        <f t="shared" ca="1" si="7"/>
        <v>46289</v>
      </c>
      <c r="J25" s="2">
        <f t="shared" ca="1" si="8"/>
        <v>46319</v>
      </c>
      <c r="K25" s="2">
        <f t="shared" ca="1" si="9"/>
        <v>46350</v>
      </c>
      <c r="L25" s="4">
        <f t="shared" ca="1" si="10"/>
        <v>46380</v>
      </c>
    </row>
    <row r="26" spans="1:12" x14ac:dyDescent="0.3">
      <c r="A26" s="3" t="str">
        <f t="shared" ca="1" si="11"/>
        <v/>
      </c>
      <c r="B26" s="2">
        <f t="shared" ca="1" si="0"/>
        <v>46078</v>
      </c>
      <c r="C26" s="2">
        <f t="shared" ca="1" si="1"/>
        <v>46106</v>
      </c>
      <c r="D26" s="2">
        <f t="shared" ca="1" si="2"/>
        <v>46137</v>
      </c>
      <c r="E26" s="2">
        <f t="shared" ca="1" si="3"/>
        <v>46167</v>
      </c>
      <c r="F26" s="2">
        <f t="shared" ca="1" si="4"/>
        <v>46198</v>
      </c>
      <c r="G26" s="2">
        <f t="shared" ca="1" si="5"/>
        <v>46228</v>
      </c>
      <c r="H26" s="2">
        <f t="shared" ca="1" si="6"/>
        <v>46259</v>
      </c>
      <c r="I26" s="2">
        <f t="shared" ca="1" si="7"/>
        <v>46290</v>
      </c>
      <c r="J26" s="2" t="str">
        <f t="shared" ca="1" si="8"/>
        <v/>
      </c>
      <c r="K26" s="2">
        <f t="shared" ca="1" si="9"/>
        <v>46351</v>
      </c>
      <c r="L26" s="4">
        <f t="shared" ca="1" si="10"/>
        <v>46381</v>
      </c>
    </row>
    <row r="27" spans="1:12" x14ac:dyDescent="0.3">
      <c r="A27" s="3">
        <f t="shared" ca="1" si="11"/>
        <v>46048</v>
      </c>
      <c r="B27" s="2">
        <f t="shared" ca="1" si="0"/>
        <v>46079</v>
      </c>
      <c r="C27" s="2">
        <f t="shared" ca="1" si="1"/>
        <v>46107</v>
      </c>
      <c r="D27" s="2" t="str">
        <f t="shared" ca="1" si="2"/>
        <v/>
      </c>
      <c r="E27" s="2">
        <f t="shared" ca="1" si="3"/>
        <v>46168</v>
      </c>
      <c r="F27" s="2">
        <f t="shared" ca="1" si="4"/>
        <v>46199</v>
      </c>
      <c r="G27" s="2" t="str">
        <f t="shared" ca="1" si="5"/>
        <v/>
      </c>
      <c r="H27" s="2">
        <f t="shared" ca="1" si="6"/>
        <v>46260</v>
      </c>
      <c r="I27" s="2">
        <f t="shared" ca="1" si="7"/>
        <v>46291</v>
      </c>
      <c r="J27" s="2">
        <f t="shared" ca="1" si="8"/>
        <v>46321</v>
      </c>
      <c r="K27" s="2">
        <f t="shared" ca="1" si="9"/>
        <v>46352</v>
      </c>
      <c r="L27" s="4">
        <f t="shared" ca="1" si="10"/>
        <v>46382</v>
      </c>
    </row>
    <row r="28" spans="1:12" x14ac:dyDescent="0.3">
      <c r="A28" s="3">
        <f t="shared" ca="1" si="11"/>
        <v>46049</v>
      </c>
      <c r="B28" s="2">
        <f t="shared" ca="1" si="0"/>
        <v>46080</v>
      </c>
      <c r="C28" s="2">
        <f t="shared" ca="1" si="1"/>
        <v>46108</v>
      </c>
      <c r="D28" s="2">
        <f t="shared" ca="1" si="2"/>
        <v>46139</v>
      </c>
      <c r="E28" s="2">
        <f t="shared" ca="1" si="3"/>
        <v>46169</v>
      </c>
      <c r="F28" s="2">
        <f t="shared" ca="1" si="4"/>
        <v>46200</v>
      </c>
      <c r="G28" s="2">
        <f t="shared" ca="1" si="5"/>
        <v>46230</v>
      </c>
      <c r="H28" s="2">
        <f t="shared" ca="1" si="6"/>
        <v>46261</v>
      </c>
      <c r="I28" s="2" t="str">
        <f t="shared" ca="1" si="7"/>
        <v/>
      </c>
      <c r="J28" s="2">
        <f t="shared" ca="1" si="8"/>
        <v>46322</v>
      </c>
      <c r="K28" s="2">
        <f t="shared" ca="1" si="9"/>
        <v>46353</v>
      </c>
      <c r="L28" s="4" t="str">
        <f t="shared" ca="1" si="10"/>
        <v/>
      </c>
    </row>
    <row r="29" spans="1:12" x14ac:dyDescent="0.3">
      <c r="A29" s="3">
        <f t="shared" ca="1" si="11"/>
        <v>46050</v>
      </c>
      <c r="B29" s="2">
        <f t="shared" ca="1" si="0"/>
        <v>46081</v>
      </c>
      <c r="C29" s="2">
        <f t="shared" ca="1" si="1"/>
        <v>46109</v>
      </c>
      <c r="D29" s="2">
        <f t="shared" ca="1" si="2"/>
        <v>46140</v>
      </c>
      <c r="E29" s="2">
        <f t="shared" ca="1" si="3"/>
        <v>46170</v>
      </c>
      <c r="F29" s="2" t="str">
        <f t="shared" ca="1" si="4"/>
        <v/>
      </c>
      <c r="G29" s="2">
        <f t="shared" ca="1" si="5"/>
        <v>46231</v>
      </c>
      <c r="H29" s="2">
        <f t="shared" ca="1" si="6"/>
        <v>46262</v>
      </c>
      <c r="I29" s="2">
        <f t="shared" ca="1" si="7"/>
        <v>46293</v>
      </c>
      <c r="J29" s="2">
        <f t="shared" ca="1" si="8"/>
        <v>46323</v>
      </c>
      <c r="K29" s="2">
        <f t="shared" ca="1" si="9"/>
        <v>46354</v>
      </c>
      <c r="L29" s="4">
        <f t="shared" ca="1" si="10"/>
        <v>46384</v>
      </c>
    </row>
    <row r="30" spans="1:12" x14ac:dyDescent="0.3">
      <c r="A30" s="3">
        <f t="shared" ca="1" si="11"/>
        <v>46051</v>
      </c>
      <c r="B30" s="2" t="str">
        <f t="shared" ca="1" si="0"/>
        <v/>
      </c>
      <c r="C30" s="2" t="str">
        <f t="shared" ca="1" si="1"/>
        <v/>
      </c>
      <c r="D30" s="2">
        <f t="shared" ca="1" si="2"/>
        <v>46141</v>
      </c>
      <c r="E30" s="2">
        <f t="shared" ca="1" si="3"/>
        <v>46171</v>
      </c>
      <c r="F30" s="2">
        <f t="shared" ca="1" si="4"/>
        <v>46202</v>
      </c>
      <c r="G30" s="2">
        <f t="shared" ca="1" si="5"/>
        <v>46232</v>
      </c>
      <c r="H30" s="2">
        <f t="shared" ca="1" si="6"/>
        <v>46263</v>
      </c>
      <c r="I30" s="2">
        <f t="shared" ca="1" si="7"/>
        <v>46294</v>
      </c>
      <c r="J30" s="2">
        <f t="shared" ca="1" si="8"/>
        <v>46324</v>
      </c>
      <c r="K30" s="2" t="str">
        <f t="shared" ca="1" si="9"/>
        <v/>
      </c>
      <c r="L30" s="4">
        <f t="shared" ca="1" si="10"/>
        <v>46385</v>
      </c>
    </row>
    <row r="31" spans="1:12" x14ac:dyDescent="0.3">
      <c r="A31" s="3">
        <f t="shared" ca="1" si="11"/>
        <v>46052</v>
      </c>
      <c r="B31" s="2" t="str">
        <f t="shared" ca="1" si="0"/>
        <v/>
      </c>
      <c r="C31" s="2">
        <f t="shared" ca="1" si="1"/>
        <v>46111</v>
      </c>
      <c r="D31" s="2">
        <f t="shared" ca="1" si="2"/>
        <v>46142</v>
      </c>
      <c r="E31" s="2">
        <f t="shared" ca="1" si="3"/>
        <v>46172</v>
      </c>
      <c r="F31" s="2">
        <f t="shared" ca="1" si="4"/>
        <v>46203</v>
      </c>
      <c r="G31" s="2">
        <f t="shared" ca="1" si="5"/>
        <v>46233</v>
      </c>
      <c r="H31" s="2" t="str">
        <f t="shared" ca="1" si="6"/>
        <v/>
      </c>
      <c r="I31" s="2">
        <f t="shared" ca="1" si="7"/>
        <v>46295</v>
      </c>
      <c r="J31" s="2">
        <f t="shared" ca="1" si="8"/>
        <v>46325</v>
      </c>
      <c r="K31" s="2">
        <f t="shared" ca="1" si="9"/>
        <v>46356</v>
      </c>
      <c r="L31" s="4">
        <f t="shared" ca="1" si="10"/>
        <v>46386</v>
      </c>
    </row>
    <row r="32" spans="1:12" ht="15" thickBot="1" x14ac:dyDescent="0.35">
      <c r="A32" s="5">
        <f t="shared" ca="1" si="11"/>
        <v>46053</v>
      </c>
      <c r="B32" s="6" t="str">
        <f t="shared" ca="1" si="0"/>
        <v/>
      </c>
      <c r="C32" s="6">
        <f t="shared" ca="1" si="1"/>
        <v>46112</v>
      </c>
      <c r="D32" s="6" t="str">
        <f t="shared" ca="1" si="2"/>
        <v/>
      </c>
      <c r="E32" s="6" t="str">
        <f t="shared" ca="1" si="3"/>
        <v/>
      </c>
      <c r="F32" s="6" t="str">
        <f t="shared" ca="1" si="4"/>
        <v/>
      </c>
      <c r="G32" s="6">
        <f t="shared" ca="1" si="5"/>
        <v>46234</v>
      </c>
      <c r="H32" s="6">
        <f t="shared" ca="1" si="6"/>
        <v>46265</v>
      </c>
      <c r="I32" s="6" t="str">
        <f t="shared" ca="1" si="7"/>
        <v/>
      </c>
      <c r="J32" s="6">
        <f t="shared" ca="1" si="8"/>
        <v>46326</v>
      </c>
      <c r="K32" s="6" t="str">
        <f t="shared" ca="1" si="9"/>
        <v/>
      </c>
      <c r="L32" s="7">
        <f t="shared" ca="1" si="10"/>
        <v>46387</v>
      </c>
    </row>
    <row r="33" spans="1:1" x14ac:dyDescent="0.3">
      <c r="A33" s="1" t="str">
        <f t="shared" ca="1" si="11"/>
        <v/>
      </c>
    </row>
    <row r="34" spans="1:1" x14ac:dyDescent="0.3">
      <c r="A34" s="1" t="str">
        <f t="shared" ca="1" si="11"/>
        <v/>
      </c>
    </row>
    <row r="35" spans="1:1" x14ac:dyDescent="0.3">
      <c r="A35" s="1" t="str">
        <f t="shared" ca="1" si="11"/>
        <v/>
      </c>
    </row>
    <row r="36" spans="1:1" x14ac:dyDescent="0.3">
      <c r="A36" s="1" t="str">
        <f t="shared" ca="1" si="11"/>
        <v/>
      </c>
    </row>
    <row r="37" spans="1:1" x14ac:dyDescent="0.3">
      <c r="A37" s="1" t="str">
        <f t="shared" ca="1" si="11"/>
        <v/>
      </c>
    </row>
    <row r="38" spans="1:1" x14ac:dyDescent="0.3">
      <c r="A38" s="1" t="str">
        <f t="shared" ca="1" si="11"/>
        <v/>
      </c>
    </row>
    <row r="39" spans="1:1" x14ac:dyDescent="0.3">
      <c r="A39" s="1" t="str">
        <f t="shared" ca="1" si="11"/>
        <v/>
      </c>
    </row>
  </sheetData>
  <phoneticPr fontId="3" type="noConversion"/>
  <conditionalFormatting sqref="B10">
    <cfRule type="containsBlanks" dxfId="17" priority="2">
      <formula>LEN(TRIM(B10))=0</formula>
    </cfRule>
  </conditionalFormatting>
  <conditionalFormatting sqref="A1:L39">
    <cfRule type="containsBlanks" dxfId="16" priority="1">
      <formula>LEN(TRIM(A1))=0</formula>
    </cfRule>
  </conditionalFormatting>
  <dataValidations count="1">
    <dataValidation type="list" allowBlank="1" showInputMessage="1" showErrorMessage="1" sqref="O1:XFD1" xr:uid="{66704FF7-1A10-4132-92E2-674F5B1D679D}">
      <formula1>$1:$1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Sheet4</vt:lpstr>
      <vt:lpstr>Date_dropdown</vt:lpstr>
      <vt:lpstr>Date_dropdown2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PATIL</dc:creator>
  <cp:lastModifiedBy>ABHISHEK PATIL</cp:lastModifiedBy>
  <cp:lastPrinted>2025-12-21T15:47:50Z</cp:lastPrinted>
  <dcterms:created xsi:type="dcterms:W3CDTF">2025-12-09T14:08:51Z</dcterms:created>
  <dcterms:modified xsi:type="dcterms:W3CDTF">2026-03-12T15:58:53Z</dcterms:modified>
</cp:coreProperties>
</file>